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157.5.6" sheetId="1" state="visible" r:id="rId3"/>
    <sheet name="157.3.4" sheetId="2" state="visible" r:id="rId4"/>
    <sheet name="157.1.2" sheetId="3" state="visible" r:id="rId5"/>
    <sheet name="160.3.4" sheetId="4" state="visible" r:id="rId6"/>
    <sheet name="160.1.2" sheetId="5" state="visible" r:id="rId7"/>
    <sheet name="159.3.4" sheetId="6" state="visible" r:id="rId8"/>
    <sheet name="159.1.2" sheetId="7" state="visible" r:id="rId9"/>
    <sheet name="158.5.6" sheetId="8" state="visible" r:id="rId10"/>
    <sheet name="158.2.4" sheetId="9" state="visible" r:id="rId11"/>
    <sheet name="158.1.3" sheetId="10" state="visible" r:id="rId12"/>
    <sheet name="146.1.2" sheetId="11" state="visible" r:id="rId13"/>
    <sheet name="146.3.4" sheetId="12" state="visible" r:id="rId14"/>
    <sheet name="145.3.4" sheetId="13" state="visible" r:id="rId15"/>
    <sheet name="145.1.2" sheetId="14" state="visible" r:id="rId16"/>
    <sheet name="CGO_PLOT_DIMENSION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Actual footprint area as per the FBC/architectural layout for this plot.</t>
        </r>
      </text>
    </commen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Actual footprint area as per the FBC/architectural layout for this plot.</t>
        </r>
      </text>
    </commen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Actual footprint area as per the FBC/architectural layout for this plot.</t>
        </r>
      </text>
    </comment>
    <comment ref="C12" authorId="0">
      <text>
        <r>
          <rPr>
            <sz val="10"/>
            <rFont val="Arial"/>
            <family val="2"/>
          </rPr>
          <t xml:space="preserve">20% for commercial/industrial, 35% for residential as per current Fungible FSI regulations — confirm applicable % for this plot's use.</t>
        </r>
      </text>
    </comment>
    <comment ref="C15" authorId="0">
      <text>
        <r>
          <rPr>
            <sz val="10"/>
            <rFont val="Arial"/>
            <family val="2"/>
          </rPr>
          <t xml:space="preserve">As per Airport/CRZ/Fire NOC or applicable height-restriction clearance for this plot.</t>
        </r>
      </text>
    </comment>
    <comment ref="C28" authorId="0">
      <text>
        <r>
          <rPr>
            <sz val="10"/>
            <rFont val="Arial"/>
            <family val="2"/>
          </rPr>
          <t xml:space="preserve">Minimum 1.5 m as per Mumbai DCR 1991 basement-setback regulation (3 m if tree-cutting is involved on the periphery). Increase if site conditions require more.</t>
        </r>
      </text>
    </comment>
    <comment ref="C29" authorId="0">
      <text>
        <r>
          <rPr>
            <sz val="10"/>
            <rFont val="Arial"/>
            <family val="2"/>
          </rPr>
          <t xml:space="preserve">Enter the actual achievable basement footprint for this plot after applying the 1.5 m boundary setback (3 m at tree-cutting zones). This is often LARGER than the above-ground Ground Coverage, since the basement can extend under above-ground setback areas right up to the 1.5 m line. Take the real figure from the basement layout drawing for this plot.</t>
        </r>
      </text>
    </comment>
    <comment ref="C31" authorId="0">
      <text>
        <r>
          <rPr>
            <sz val="10"/>
            <rFont val="Arial"/>
            <family val="2"/>
          </rPr>
          <t xml:space="preserve">Min. 2.4m clear below beam; max 3m without stack parking, 4.2m with stack parking, as per DCR 1991.</t>
        </r>
      </text>
    </comment>
  </commentList>
</comments>
</file>

<file path=xl/sharedStrings.xml><?xml version="1.0" encoding="utf-8"?>
<sst xmlns="http://schemas.openxmlformats.org/spreadsheetml/2006/main" count="2987" uniqueCount="215">
  <si>
    <t xml:space="preserve">EXAMINING THE FEASIBILITY OF CONSUMPTION OF BUILT UP AREA</t>
  </si>
  <si>
    <t xml:space="preserve">CGO OFFICE COMPLEX</t>
  </si>
  <si>
    <t xml:space="preserve">A.  PLOT, FSI &amp; REGULATORY INPUTS  (enter values for the plot being checked)</t>
  </si>
  <si>
    <t xml:space="preserve">Sr.No</t>
  </si>
  <si>
    <t xml:space="preserve">Particulars</t>
  </si>
  <si>
    <t xml:space="preserve">Details</t>
  </si>
  <si>
    <t xml:space="preserve">Units</t>
  </si>
  <si>
    <t xml:space="preserve">Plot Number / Identification</t>
  </si>
  <si>
    <t xml:space="preserve">157  5/6</t>
  </si>
  <si>
    <t xml:space="preserve">Plot Area</t>
  </si>
  <si>
    <t xml:space="preserve">Sqm</t>
  </si>
  <si>
    <t xml:space="preserve">Ground Coverage (footprint at ground level)</t>
  </si>
  <si>
    <t xml:space="preserve">Ground Coverage (Between heights 24m to 37.5m)</t>
  </si>
  <si>
    <t xml:space="preserve">Ground Coverage (Above the height of 37.5m)</t>
  </si>
  <si>
    <t xml:space="preserve">Total Permissible FSI (Base + Additional)</t>
  </si>
  <si>
    <t xml:space="preserve">—</t>
  </si>
  <si>
    <t xml:space="preserve">Additional area for chowk, shaft, etc.</t>
  </si>
  <si>
    <t xml:space="preserve">%</t>
  </si>
  <si>
    <t xml:space="preserve">Front Setback</t>
  </si>
  <si>
    <t xml:space="preserve">12 m</t>
  </si>
  <si>
    <t xml:space="preserve">m</t>
  </si>
  <si>
    <t xml:space="preserve">Side Setback </t>
  </si>
  <si>
    <t xml:space="preserve">6 m</t>
  </si>
  <si>
    <t xml:space="preserve">Max. Permissible Height of Building</t>
  </si>
  <si>
    <t xml:space="preserve">Plinth Height</t>
  </si>
  <si>
    <t xml:space="preserve">Typical Office Floor-to-Floor Height</t>
  </si>
  <si>
    <t xml:space="preserve">Podium Parking Floor-to-Floor Height</t>
  </si>
  <si>
    <t xml:space="preserve">B.  PERMISSIBLE BUA CALCULATION  </t>
  </si>
  <si>
    <t xml:space="preserve">Total Permissible BUA (Plot Area x FSI)</t>
  </si>
  <si>
    <t xml:space="preserve">Total BUA </t>
  </si>
  <si>
    <t xml:space="preserve">C.  BASEMENT CALCULATION  </t>
  </si>
  <si>
    <t xml:space="preserve">Basement Setback from Plot Boundary (DCR 1991)</t>
  </si>
  <si>
    <t xml:space="preserve">Basement Floor Plate Area (achievable footprint after 1.5 m margin)</t>
  </si>
  <si>
    <t xml:space="preserve">No. of Basement Floors Proposed</t>
  </si>
  <si>
    <t xml:space="preserve">Nos.</t>
  </si>
  <si>
    <t xml:space="preserve">Basement Floor-to-Floor Height</t>
  </si>
  <si>
    <t xml:space="preserve">Total Basement BUA (Floors x Floor Plate)</t>
  </si>
  <si>
    <t xml:space="preserve">D. PARKING REQUIREMENTS</t>
  </si>
  <si>
    <t xml:space="preserve">Value</t>
  </si>
  <si>
    <t xml:space="preserve">Parking upto 1500 Sqm @ 37.5 Sqm per space</t>
  </si>
  <si>
    <t xml:space="preserve">Remaining Built up Area (BUA - 1500)</t>
  </si>
  <si>
    <t xml:space="preserve">Parking for remaining BUA @ 75 Sqm per space</t>
  </si>
  <si>
    <t xml:space="preserve">Total Parking Required</t>
  </si>
  <si>
    <t xml:space="preserve">Additional 10% Visitor Parking</t>
  </si>
  <si>
    <t xml:space="preserve">Total Parking with Visitor</t>
  </si>
  <si>
    <t xml:space="preserve">BUA required for parking @ 35 Sqm per car</t>
  </si>
  <si>
    <t xml:space="preserve">Parking requrement met in Basement</t>
  </si>
  <si>
    <t xml:space="preserve">Balance Parking area required </t>
  </si>
  <si>
    <t xml:space="preserve">Nos. of podium floors required for Parking  </t>
  </si>
  <si>
    <t xml:space="preserve">E.  SIDE CALCULATION: FLOOR PLATE BREAKDOWN BY SETBACK</t>
  </si>
  <si>
    <t xml:space="preserve">Setback Stage</t>
  </si>
  <si>
    <t xml:space="preserve">Height Band
Applicable</t>
  </si>
  <si>
    <t xml:space="preserve">Floor Plate
Area (Sqm)</t>
  </si>
  <si>
    <t xml:space="preserve">Height Available
 (m)</t>
  </si>
  <si>
    <t xml:space="preserve">No.of permissible floors (@3.3m high floors)</t>
  </si>
  <si>
    <t xml:space="preserve">No. of Floors parking (@2.4m high floors)
</t>
  </si>
  <si>
    <t xml:space="preserve">BUA Consumed (Parking)</t>
  </si>
  <si>
    <t xml:space="preserve">Height Consumed
(Parking)</t>
  </si>
  <si>
    <t xml:space="preserve">Remaining Height (m)</t>
  </si>
  <si>
    <t xml:space="preserve">Floors to be achieved @ 3.3M </t>
  </si>
  <si>
    <t xml:space="preserve">Achievable BUA</t>
  </si>
  <si>
    <t xml:space="preserve">Permmissible BUA distribution
</t>
  </si>
  <si>
    <t xml:space="preserve">No.of floors based on permissible BUA
</t>
  </si>
  <si>
    <t xml:space="preserve">Height Consumed (Office)(m)</t>
  </si>
  <si>
    <t xml:space="preserve">Total height
</t>
  </si>
  <si>
    <t xml:space="preserve">Actual Achieved
BUA (Sqm)
[floors x floor plate]</t>
  </si>
  <si>
    <t xml:space="preserve">6 m setback</t>
  </si>
  <si>
    <t xml:space="preserve">Upto 24 m</t>
  </si>
  <si>
    <t xml:space="preserve">9 m setback</t>
  </si>
  <si>
    <t xml:space="preserve">24 m - 37.5 m</t>
  </si>
  <si>
    <t xml:space="preserve">12 m setback</t>
  </si>
  <si>
    <t xml:space="preserve">Beyond 37.5 m (no height limit)</t>
  </si>
  <si>
    <t xml:space="preserve">TOTAL </t>
  </si>
  <si>
    <t xml:space="preserve">feasible office floors</t>
  </si>
  <si>
    <t xml:space="preserve">F. HEIGHT ANALYSIS &amp; FEASIBILITY</t>
  </si>
  <si>
    <t xml:space="preserve">Max. Permissible Height</t>
  </si>
  <si>
    <t xml:space="preserve">Estimated Podium Parking Floors</t>
  </si>
  <si>
    <t xml:space="preserve">Podium Height @ 2.4m per floor</t>
  </si>
  <si>
    <t xml:space="preserve">Balance Height for Office</t>
  </si>
  <si>
    <t xml:space="preserve">Actual total height consumed</t>
  </si>
  <si>
    <t xml:space="preserve">  Height consumed for offices</t>
  </si>
  <si>
    <t xml:space="preserve">Height per Office Floor</t>
  </si>
  <si>
    <t xml:space="preserve">Permissible Office Floors based on norms</t>
  </si>
  <si>
    <t xml:space="preserve">Total permissible  Floors (Podium + Office)</t>
  </si>
  <si>
    <t xml:space="preserve">Feasible office floors</t>
  </si>
  <si>
    <t xml:space="preserve">G.  ABSTRACT — FINAL FLOOR COUNT</t>
  </si>
  <si>
    <t xml:space="preserve">Feasible total no.of floors</t>
  </si>
  <si>
    <t xml:space="preserve">PODIUM FLOORS</t>
  </si>
  <si>
    <t xml:space="preserve">Permsisible BUA Consumption of offices</t>
  </si>
  <si>
    <t xml:space="preserve">OFFICE FLOORS</t>
  </si>
  <si>
    <t xml:space="preserve">Achieved BUA by offices </t>
  </si>
  <si>
    <t xml:space="preserve">TOTAL FLOORS</t>
  </si>
  <si>
    <t xml:space="preserve">Actual BUA Built (Whole Floors) — from Sec E Total (Col. P)</t>
  </si>
  <si>
    <t xml:space="preserve">Excess BUA over Permissible (Built − Permissible)</t>
  </si>
  <si>
    <t xml:space="preserve">157  3/4</t>
  </si>
  <si>
    <t xml:space="preserve">157  1/2</t>
  </si>
  <si>
    <t xml:space="preserve"> ABSTRACT — FINAL FLOOR COUNT</t>
  </si>
  <si>
    <t xml:space="preserve">PROPOSAL STATEMENT — WHY READING A IS NOT FEASIBLE &amp; BASIS OF THE REVISED CALCULATION (SECTIONS G &amp; H)</t>
  </si>
  <si>
    <t xml:space="preserve">Item</t>
  </si>
  <si>
    <t xml:space="preserve">Explanation</t>
  </si>
  <si>
    <t xml:space="preserve">1. Why Reading A Fails</t>
  </si>
  <si>
    <t xml:space="preserve">2. Revised Method — Height &amp; Front Margin</t>
  </si>
  <si>
    <t xml:space="preserve">The proposal caps building height at 37.5 m (the height at which the 9 m side-setback floor-plate band maxes out) instead of the full plot-permissible height. Under DCR Reg. 31(1), height is capped at 1.5 × (road width + front open space); at a fixed 37.5 m height this is inverted to solve for the front margin: Front Margin = (Height ÷ 1.5) − Road Width = (37.5 ÷ 1.5) − 18 = 7 m. This gives a smaller, DCR-compliant front setback than the standard 12 m, which increases the usable floor length.</t>
  </si>
  <si>
    <t xml:space="preserve">3. Massing, Floor Count &amp; FSI</t>
  </si>
  <si>
    <t xml:space="preserve">With a 9 m setback on all sides (front margin above + 9 m sides), the floor plate = (Width − 2×9) × (Length − Front Margin − 9). Floors = INT(37.5 ÷ 3.3) floor-to-floor height. Gross volume = Floors × Floor Plate; countable BUA is taken at 70% efficiency (chowks/shafts/common areas excluded). FSI = Countable BUA ÷ Plot Area — this is the FSI the revised massing actually consumes, independent of the plot's permissible FSI ceiling.</t>
  </si>
  <si>
    <t xml:space="preserve">4. Parking Strategy</t>
  </si>
  <si>
    <t xml:space="preserve">Podium parking is avoided wherever possible; basement usage is maximised to 3 floors (at 1.5 m basement setback) to absorb the bulk of the parking demand below grade. Parking demand is computed the same way as Reading A (37.5 Sqm/space for the first 1,500 Sqm of BUA, 75 Sqm/space beyond, +10% visitor, 35 Sqm built area per car), and only the residual demand not met by the 3 basement floors is pushed up into podium floors on the upper (9 m-setback) floor plate.</t>
  </si>
  <si>
    <t xml:space="preserve">5. Two Scales — Sections G &amp; H</t>
  </si>
  <si>
    <t xml:space="preserve">The revised calculation is presented at two scales using the same method: Section G applies it to the single subplot in isolation; Section H applies it to the combined/overall plot (both subplots together), since the two subplots forming this plot number are read both individually and jointly.</t>
  </si>
  <si>
    <t xml:space="preserve">6. Constants Used</t>
  </si>
  <si>
    <t xml:space="preserve">Capped building height = 37.5 m  •  Office floor-to-floor height = 3.3 m  •  Side setback = 9 m (both sides)  •  DCR height/setback divisor = 1.5 (Reg. 31(1))  •  Road width = 18 m  •  BUA efficiency = 70% of gross volume  •  Basement floors = 3 @ 1.5 m setback  •  Parking: 37.5 Sqm/space up to 1,500 Sqm BUA, 75 Sqm/space beyond, +10% visitor allowance, 35 Sqm built area per car space.</t>
  </si>
  <si>
    <t xml:space="preserve">7. Variables (Inputs → Derived)</t>
  </si>
  <si>
    <t xml:space="preserve">Inputs: subplot width, subplot length, plot/combined area, road width.  Derived: front margin, floor plate area, gross volume, countable (70%) BUA, FSI, number of floors, basement floor plate, total parking demand, and residual podium parking (demand not absorbed by the 3 basement floors).</t>
  </si>
  <si>
    <t xml:space="preserve">8. Revised Result (Sections G &amp; H)</t>
  </si>
  <si>
    <t xml:space="preserve">G.  REVISED CALCULATION — 157.1 (H)  (9m Side-Setback Band, Height Fixed at 37.5m)</t>
  </si>
  <si>
    <t xml:space="preserve">width</t>
  </si>
  <si>
    <t xml:space="preserve">length</t>
  </si>
  <si>
    <t xml:space="preserve">front margin</t>
  </si>
  <si>
    <t xml:space="preserve">road width </t>
  </si>
  <si>
    <t xml:space="preserve">area</t>
  </si>
  <si>
    <t xml:space="preserve">height of building</t>
  </si>
  <si>
    <t xml:space="preserve">Height=37.5m fixed (9m side setback band per DCR). Front margin = (B9/1.5)-B6 = (37.5/1.5)-18 = 7m</t>
  </si>
  <si>
    <t xml:space="preserve">no.of floors</t>
  </si>
  <si>
    <t xml:space="preserve">side margin</t>
  </si>
  <si>
    <t xml:space="preserve">Floor width</t>
  </si>
  <si>
    <t xml:space="preserve">floor length</t>
  </si>
  <si>
    <t xml:space="preserve">floor area</t>
  </si>
  <si>
    <t xml:space="preserve">TOTAL VOL.</t>
  </si>
  <si>
    <t xml:space="preserve">BUA 70%</t>
  </si>
  <si>
    <t xml:space="preserve">FSI</t>
  </si>
  <si>
    <t xml:space="preserve">PARKING</t>
  </si>
  <si>
    <t xml:space="preserve">BASEMENT</t>
  </si>
  <si>
    <t xml:space="preserve">WIDTH</t>
  </si>
  <si>
    <t xml:space="preserve">PARKING @ 37.5 FOR 1500SQM</t>
  </si>
  <si>
    <t xml:space="preserve">LENGTH</t>
  </si>
  <si>
    <t xml:space="preserve">REMAINING BUA</t>
  </si>
  <si>
    <t xml:space="preserve">BASE FLOOR AREA</t>
  </si>
  <si>
    <t xml:space="preserve">PARKING FOR REM BUA @75</t>
  </si>
  <si>
    <t xml:space="preserve">WITH 3 BASEFLOORS</t>
  </si>
  <si>
    <t xml:space="preserve">TOTAL REQUIREMENT</t>
  </si>
  <si>
    <t xml:space="preserve">NO.CARS IN BASE</t>
  </si>
  <si>
    <t xml:space="preserve">10% PARKING REQ</t>
  </si>
  <si>
    <t xml:space="preserve">TOTAL WITH VISITOR</t>
  </si>
  <si>
    <t xml:space="preserve">PARKING BUA REQ</t>
  </si>
  <si>
    <t xml:space="preserve">Actual Achieved BUA
(Whole Floors, Sqm)</t>
  </si>
  <si>
    <t xml:space="preserve">Excess over
Permissible BUA (Sqm)</t>
  </si>
  <si>
    <t xml:space="preserve">9M</t>
  </si>
  <si>
    <t xml:space="preserve">upto 37.5m</t>
  </si>
  <si>
    <t xml:space="preserve">H.  REVISED CALCULATION — 157.1.2 (H) (2)  (9m Side-Setback Band, Height Fixed at 37.5m)</t>
  </si>
  <si>
    <t xml:space="preserve">160  3/4</t>
  </si>
  <si>
    <t xml:space="preserve">G.  REVISED CALCULATION — 160.3 (H)  (9m Side-Setback Band, Height Fixed at 37.5m)</t>
  </si>
  <si>
    <t xml:space="preserve">Height = 37.5m fixed (9m side-setback band per DCR). Front margin = (Height / 1.5) - Road Width. Enter Road Width below to auto-calculate Front Margin &amp; FSI.</t>
  </si>
  <si>
    <t xml:space="preserve">H.  REVISED CALCULATION — 160.3.4 (H) (2)  (9m Side-Setback Band, Height Fixed at 37.5m)</t>
  </si>
  <si>
    <t xml:space="preserve">160  1/2</t>
  </si>
  <si>
    <t xml:space="preserve">G.  REVISED CALCULATION — 160.1 (H)  (9m Side-Setback Band, Height Fixed at 37.5m)</t>
  </si>
  <si>
    <t xml:space="preserve">H.  REVISED CALCULATION — 160.1.2 (H) (2)  (9m Side-Setback Band, Height Fixed at 37.5m)</t>
  </si>
  <si>
    <t xml:space="preserve">159  3/4</t>
  </si>
  <si>
    <t xml:space="preserve">159  1/2</t>
  </si>
  <si>
    <t xml:space="preserve">              </t>
  </si>
  <si>
    <t xml:space="preserve">158  2/4</t>
  </si>
  <si>
    <t xml:space="preserve">158  1/3</t>
  </si>
  <si>
    <t xml:space="preserve">146  1/2</t>
  </si>
  <si>
    <t xml:space="preserve">G.  REVISED CALCULATION — 146.1 (H)  (9m Side-Setback Band, Height Fixed at 37.5m)</t>
  </si>
  <si>
    <t xml:space="preserve">H.  REVISED CALCULATION — 146.1.2 (H) (2)  (9m Side-Setback Band, Height Fixed at 37.5m)</t>
  </si>
  <si>
    <t xml:space="preserve">146  3/4</t>
  </si>
  <si>
    <t xml:space="preserve">G.  REVISED CALCULATION — 146.3 (H)  (9m Side-Setback Band, Height Fixed at 37.5m)</t>
  </si>
  <si>
    <t xml:space="preserve">H.  REVISED CALCULATION — 146.3.4 (H) (2)  (9m Side-Setback Band, Height Fixed at 37.5m)</t>
  </si>
  <si>
    <t xml:space="preserve">Feasibleoffice floors</t>
  </si>
  <si>
    <t xml:space="preserve">G.  REVISED CALCULATION — 145.3 (H)  (9m Side-Setback Band, Height Fixed at 37.5m)</t>
  </si>
  <si>
    <t xml:space="preserve">H.  REVISED CALCULATION — 145.3.4 (H) (2)  (9m Side-Setback Band, Height Fixed at 37.5m)</t>
  </si>
  <si>
    <t xml:space="preserve">G.  REVISED CALCULATION — 145.1 (H)  (9m Side-Setback Band, Height Fixed at 37.5m)</t>
  </si>
  <si>
    <t xml:space="preserve">H.  REVISED CALCULATION — 145.1.2 (H) (2)  (9m Side-Setback Band, Height Fixed at 37.5m)</t>
  </si>
  <si>
    <t xml:space="preserve">CGO COMPLEX – PLOT DIMENSIONS &amp; GC AREA SUMMARY</t>
  </si>
  <si>
    <t xml:space="preserve">Setback Scenarios: 12M Front + 6M Side  |  12M Front + 9M Side  |  12M All Sides</t>
  </si>
  <si>
    <t xml:space="preserve">Plot</t>
  </si>
  <si>
    <t xml:space="preserve">Sub-Plot</t>
  </si>
  <si>
    <t xml:space="preserve">Area (SQM)</t>
  </si>
  <si>
    <t xml:space="preserve">GC Area – 12M Front
+ 6M Side (SQM)</t>
  </si>
  <si>
    <t xml:space="preserve">GC Area – 12M Front
+ 9M Side (SQM)</t>
  </si>
  <si>
    <t xml:space="preserve">GC Area – 12M
All Sides (SQM)</t>
  </si>
  <si>
    <t xml:space="preserve">BASEMENT FLOOR PLATE AREA WITH 1.5M SETBACK (SQM)</t>
  </si>
  <si>
    <t xml:space="preserve">MAX.HEIGHT</t>
  </si>
  <si>
    <t xml:space="preserve">LENGTH </t>
  </si>
  <si>
    <t xml:space="preserve">PLOT 145
(Inc. 1/2/3/4)</t>
  </si>
  <si>
    <t xml:space="preserve">TOTAL</t>
  </si>
  <si>
    <t xml:space="preserve">145  1/2</t>
  </si>
  <si>
    <t xml:space="preserve">145  3/4</t>
  </si>
  <si>
    <t xml:space="preserve">PLOT 146
(Inc. 1/2/3/4)</t>
  </si>
  <si>
    <t xml:space="preserve">PLOT 160
(Inc. 1/2/3/4)</t>
  </si>
  <si>
    <t xml:space="preserve">PLOT 159
(Inc. 1/2/3/4)</t>
  </si>
  <si>
    <t xml:space="preserve">PLOT 158
(Inc. 1/2/3/4/5/6)</t>
  </si>
  <si>
    <t xml:space="preserve">158  5/6</t>
  </si>
  <si>
    <t xml:space="preserve">PLOT 157
(Inc. 1/2/3/4/5/6)</t>
  </si>
  <si>
    <t xml:space="preserve">SUBPLOT DIMENSIONS</t>
  </si>
  <si>
    <t xml:space="preserve">145/1</t>
  </si>
  <si>
    <t xml:space="preserve">145/2</t>
  </si>
  <si>
    <t xml:space="preserve">145/3</t>
  </si>
  <si>
    <t xml:space="preserve">145/4</t>
  </si>
  <si>
    <t xml:space="preserve">146/1</t>
  </si>
  <si>
    <t xml:space="preserve">146/2</t>
  </si>
  <si>
    <t xml:space="preserve">146/3</t>
  </si>
  <si>
    <t xml:space="preserve">146/4</t>
  </si>
  <si>
    <t xml:space="preserve">160/1</t>
  </si>
  <si>
    <t xml:space="preserve">160/2</t>
  </si>
  <si>
    <t xml:space="preserve">160/3</t>
  </si>
  <si>
    <t xml:space="preserve">160/4</t>
  </si>
  <si>
    <t xml:space="preserve">157/1</t>
  </si>
  <si>
    <t xml:space="preserve">157/2</t>
  </si>
  <si>
    <t xml:space="preserve">LEGEND</t>
  </si>
  <si>
    <t xml:space="preserve">  A  –  Plot identifier (combined area)</t>
  </si>
  <si>
    <t xml:space="preserve">  B  –  Total row for the plot group</t>
  </si>
  <si>
    <t xml:space="preserve">  C  –  GC Area with 12M Front + 6M Side setbacks</t>
  </si>
  <si>
    <t xml:space="preserve">  D  –  GC Area with 12M Front + 9M Side setbacks</t>
  </si>
  <si>
    <t xml:space="preserve">  E  –  GC Area with 12M setback on all sides</t>
  </si>
  <si>
    <t xml:space="preserve">Source: CGO_COMPLEX_PLOT_DIMENSIONS.dxf  |  Data extracted directly from AutoCAD DXF entities  |  All areas in Square Metres (SQM)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</si>
</sst>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"/>
    <numFmt numFmtId="166" formatCode="0%"/>
    <numFmt numFmtId="167" formatCode="@"/>
    <numFmt numFmtId="168" formatCode="_(* #,##0.00_);_(* \(#,##0.00\);_(* \-??_);_(@_)"/>
    <numFmt numFmtId="169" formatCode="#,##0"/>
    <numFmt numFmtId="170" formatCode="_ * #,##0_ ;_ * \-#,##0_ ;_ * \-??_ ;_ @_ "/>
    <numFmt numFmtId="171" formatCode="#,##0.0"/>
    <numFmt numFmtId="172" formatCode="0"/>
    <numFmt numFmtId="173" formatCode="0.0"/>
    <numFmt numFmtId="174" formatCode="General"/>
    <numFmt numFmtId="175" formatCode="_ * #,##0.00_ ;_ * \-#,##0.00_ ;_ * \-??_ ;_ @_ "/>
    <numFmt numFmtId="176" formatCode="0.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1F497D"/>
      <name val="Arial"/>
      <family val="2"/>
      <charset val="1"/>
    </font>
    <font>
      <i val="true"/>
      <sz val="8.5"/>
      <color rgb="FF808080"/>
      <name val="Calibri"/>
      <family val="2"/>
      <charset val="1"/>
    </font>
    <font>
      <sz val="10"/>
      <color rgb="FF0000FF"/>
      <name val="Calibri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3"/>
      <color rgb="FFFFFFFF"/>
      <name val="Arial"/>
      <family val="2"/>
      <charset val="1"/>
    </font>
    <font>
      <sz val="11"/>
      <color rgb="FF000000"/>
      <name val="Cambria"/>
      <family val="1"/>
      <charset val="1"/>
    </font>
    <font>
      <sz val="11"/>
      <color rgb="FF0000FF"/>
      <name val="Cambria"/>
      <family val="1"/>
      <charset val="1"/>
    </font>
    <font>
      <b val="true"/>
      <sz val="9"/>
      <name val="Cambria"/>
      <family val="1"/>
      <charset val="1"/>
    </font>
    <font>
      <sz val="11"/>
      <color rgb="FF0000FF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i val="true"/>
      <sz val="9"/>
      <color rgb="FF4472C4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b val="true"/>
      <sz val="8"/>
      <color rgb="FF1F3864"/>
      <name val="Arial"/>
      <family val="2"/>
      <charset val="1"/>
    </font>
    <font>
      <b val="true"/>
      <sz val="8"/>
      <color rgb="FF1E7145"/>
      <name val="Arial"/>
      <family val="2"/>
      <charset val="1"/>
    </font>
    <font>
      <b val="true"/>
      <sz val="8"/>
      <color rgb="FF7F6000"/>
      <name val="Arial"/>
      <family val="2"/>
      <charset val="1"/>
    </font>
    <font>
      <b val="true"/>
      <sz val="8"/>
      <color rgb="FF843C0C"/>
      <name val="Arial"/>
      <family val="2"/>
      <charset val="1"/>
    </font>
    <font>
      <i val="true"/>
      <sz val="8"/>
      <color rgb="FF7F7F7F"/>
      <name val="Arial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203864"/>
        <bgColor rgb="FF1F3864"/>
      </patternFill>
    </fill>
    <fill>
      <patternFill patternType="solid">
        <fgColor rgb="FF1F4E78"/>
        <bgColor rgb="FF1F497D"/>
      </patternFill>
    </fill>
    <fill>
      <patternFill patternType="solid">
        <fgColor rgb="FFBFBFBF"/>
        <bgColor rgb="FFB4C7E7"/>
      </patternFill>
    </fill>
    <fill>
      <patternFill patternType="solid">
        <fgColor rgb="FFF5FAFF"/>
        <bgColor rgb="FFF8F8F8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B4C7E7"/>
        <bgColor rgb="FFBDD7EE"/>
      </patternFill>
    </fill>
    <fill>
      <patternFill patternType="solid">
        <fgColor rgb="FF366092"/>
        <bgColor rgb="FF2E75B6"/>
      </patternFill>
    </fill>
    <fill>
      <patternFill patternType="solid">
        <fgColor rgb="FFD9E1F2"/>
        <bgColor rgb="FFD6E4F0"/>
      </patternFill>
    </fill>
    <fill>
      <patternFill patternType="solid">
        <fgColor rgb="FFFFFF00"/>
        <bgColor rgb="FFFAC090"/>
      </patternFill>
    </fill>
    <fill>
      <patternFill patternType="solid">
        <fgColor rgb="FF92D050"/>
        <bgColor rgb="FFBFBFBF"/>
      </patternFill>
    </fill>
    <fill>
      <patternFill patternType="solid">
        <fgColor theme="9" tint="0.3996"/>
        <bgColor rgb="FFBFBFBF"/>
      </patternFill>
    </fill>
    <fill>
      <patternFill patternType="solid">
        <fgColor theme="0"/>
        <bgColor rgb="FFF5FAFF"/>
      </patternFill>
    </fill>
    <fill>
      <patternFill patternType="solid">
        <fgColor rgb="FFEBF3FB"/>
        <bgColor rgb="FFF5FAFF"/>
      </patternFill>
    </fill>
    <fill>
      <patternFill patternType="solid">
        <fgColor rgb="FF1F3864"/>
        <bgColor rgb="FF203864"/>
      </patternFill>
    </fill>
    <fill>
      <patternFill patternType="solid">
        <fgColor rgb="FFDEEAF1"/>
        <bgColor rgb="FFDBEEF4"/>
      </patternFill>
    </fill>
    <fill>
      <patternFill patternType="solid">
        <fgColor rgb="FF2E75B6"/>
        <bgColor rgb="FF4472C4"/>
      </patternFill>
    </fill>
    <fill>
      <patternFill patternType="solid">
        <fgColor rgb="FF1E7145"/>
        <bgColor rgb="FF008000"/>
      </patternFill>
    </fill>
    <fill>
      <patternFill patternType="solid">
        <fgColor rgb="FF7F6000"/>
        <bgColor rgb="FF843C0C"/>
      </patternFill>
    </fill>
    <fill>
      <patternFill patternType="solid">
        <fgColor rgb="FF843C0C"/>
        <bgColor rgb="FF7F6000"/>
      </patternFill>
    </fill>
    <fill>
      <patternFill patternType="solid">
        <fgColor theme="3" tint="0.3996"/>
        <bgColor rgb="FF4472C4"/>
      </patternFill>
    </fill>
    <fill>
      <patternFill patternType="solid">
        <fgColor rgb="FFD6E4F0"/>
        <bgColor rgb="FFD9E1F2"/>
      </patternFill>
    </fill>
    <fill>
      <patternFill patternType="solid">
        <fgColor rgb="FFBDD7EE"/>
        <bgColor rgb="FFB4C7E7"/>
      </patternFill>
    </fill>
    <fill>
      <patternFill patternType="solid">
        <fgColor theme="8" tint="0.7998"/>
        <bgColor rgb="FFDEEAF1"/>
      </patternFill>
    </fill>
    <fill>
      <patternFill patternType="solid">
        <fgColor theme="3" tint="-0.25"/>
        <bgColor rgb="FF1F3864"/>
      </patternFill>
    </fill>
    <fill>
      <patternFill patternType="solid">
        <fgColor rgb="FFF8F8F8"/>
        <bgColor rgb="FFF5FA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1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0" fillId="1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1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1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2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1" fillId="15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2" fillId="15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1" fillId="13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3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27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2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2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2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3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2" fillId="2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2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6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2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2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8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5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E7145"/>
      <rgbColor rgb="FFBFBFBF"/>
      <rgbColor rgb="FF808080"/>
      <rgbColor rgb="FF558ED5"/>
      <rgbColor rgb="FF993366"/>
      <rgbColor rgb="FFFFF2CC"/>
      <rgbColor rgb="FFDBEEF4"/>
      <rgbColor rgb="FF660066"/>
      <rgbColor rgb="FFF5FAFF"/>
      <rgbColor rgb="FF2E75B6"/>
      <rgbColor rgb="FFBDD7EE"/>
      <rgbColor rgb="FF000080"/>
      <rgbColor rgb="FFFF00FF"/>
      <rgbColor rgb="FFF8F8F8"/>
      <rgbColor rgb="FF00FFFF"/>
      <rgbColor rgb="FF800080"/>
      <rgbColor rgb="FF800000"/>
      <rgbColor rgb="FF366092"/>
      <rgbColor rgb="FF0000FF"/>
      <rgbColor rgb="FF00CCFF"/>
      <rgbColor rgb="FFEBF3FB"/>
      <rgbColor rgb="FFE2EFDA"/>
      <rgbColor rgb="FFFCE4D6"/>
      <rgbColor rgb="FFB4C7E7"/>
      <rgbColor rgb="FFD6E4F0"/>
      <rgbColor rgb="FFD9E1F2"/>
      <rgbColor rgb="FFFAC090"/>
      <rgbColor rgb="FF4472C4"/>
      <rgbColor rgb="FF33CCCC"/>
      <rgbColor rgb="FF92D050"/>
      <rgbColor rgb="FFDEEAF1"/>
      <rgbColor rgb="FFFF9900"/>
      <rgbColor rgb="FFFF6600"/>
      <rgbColor rgb="FF7F7F7F"/>
      <rgbColor rgb="FF999999"/>
      <rgbColor rgb="FF17375E"/>
      <rgbColor rgb="FF339966"/>
      <rgbColor rgb="FF1F4E78"/>
      <rgbColor rgb="FF1F497D"/>
      <rgbColor rgb="FF843C0C"/>
      <rgbColor rgb="FF993366"/>
      <rgbColor rgb="FF1F3864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40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8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f aca="false">CGO_PLOT_DIMENSIONS!C23</f>
        <v>4308.12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2483.1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2080.23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1711.56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9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CGO_PLOT_DIMENSIONS!I23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20678.976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6203.6928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26882.6688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CGO_PLOT_DIMENSIONS!H23</f>
        <v>3919.4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11758.2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25382.6688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338.435584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378.435584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37.8435584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416.2791424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14569.769984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11758.2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2811.569984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2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2483.1</v>
      </c>
      <c r="D49" s="39" t="n">
        <v>24</v>
      </c>
      <c r="E49" s="40" t="n">
        <f aca="false">24/3.3</f>
        <v>7.27272727272727</v>
      </c>
      <c r="F49" s="41" t="n">
        <f aca="false">MIN(C45, INT(D49/C18))</f>
        <v>2</v>
      </c>
      <c r="G49" s="41" t="n">
        <f aca="false">C49*F49</f>
        <v>4966.2</v>
      </c>
      <c r="H49" s="23" t="n">
        <f aca="false">F49*C18</f>
        <v>4.8</v>
      </c>
      <c r="I49" s="42" t="n">
        <f aca="false">D49-H49</f>
        <v>19.2</v>
      </c>
      <c r="J49" s="43" t="n">
        <f aca="false">INT(I49/C17)</f>
        <v>5</v>
      </c>
      <c r="K49" s="44" t="n">
        <f aca="false">J49*C49</f>
        <v>12415.5</v>
      </c>
      <c r="L49" s="23" t="n">
        <f aca="false">MIN(C24, K49)</f>
        <v>12415.5</v>
      </c>
      <c r="M49" s="23" t="n">
        <f aca="false">ROUNDUP((L49/C49),0)</f>
        <v>5</v>
      </c>
      <c r="N49" s="1" t="n">
        <f aca="false">C17*M49</f>
        <v>16.5</v>
      </c>
      <c r="O49" s="45" t="n">
        <f aca="false">H49+N49</f>
        <v>21.3</v>
      </c>
      <c r="P49" s="46" t="n">
        <f aca="false">M49*C49</f>
        <v>12415.5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2080.23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8320.92</v>
      </c>
      <c r="L50" s="23" t="n">
        <f aca="false">MAX(0, MIN(K50, C24 - L49))</f>
        <v>8320.92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8320.92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1711.56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17115.6</v>
      </c>
      <c r="L51" s="23" t="n">
        <f aca="false">MAX(0, MIN(K51, C24 - L49 - L50))</f>
        <v>6146.2488</v>
      </c>
      <c r="M51" s="23" t="n">
        <f aca="false">ROUNDUP((L51/C51),0)</f>
        <v>4</v>
      </c>
      <c r="N51" s="1" t="n">
        <f aca="false">C17*M51</f>
        <v>13.2</v>
      </c>
      <c r="O51" s="45" t="n">
        <f aca="false">H51+N51</f>
        <v>13.2</v>
      </c>
      <c r="P51" s="46" t="n">
        <f aca="false">M51*C51</f>
        <v>6846.24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2</v>
      </c>
      <c r="G52" s="50" t="n">
        <f aca="false">SUM(G49:G51)</f>
        <v>4966.2</v>
      </c>
      <c r="H52" s="22" t="n">
        <f aca="false">SUM(H49:H51)</f>
        <v>4.8</v>
      </c>
      <c r="I52" s="51" t="s">
        <v>73</v>
      </c>
      <c r="J52" s="52" t="n">
        <f aca="false">SUM(J49:J51)</f>
        <v>19</v>
      </c>
      <c r="K52" s="52" t="n">
        <f aca="false">SUM(K49:K51)</f>
        <v>37852.02</v>
      </c>
      <c r="L52" s="22" t="n">
        <f aca="false">L49+L50+L51</f>
        <v>26882.6688</v>
      </c>
      <c r="M52" s="53" t="n">
        <f aca="false">SUM(M49:M51)</f>
        <v>13</v>
      </c>
      <c r="N52" s="54" t="n">
        <f aca="false">SUM(N49:N51)</f>
        <v>42.9</v>
      </c>
      <c r="O52" s="55" t="n">
        <f aca="false">SUM(O49:O51)</f>
        <v>47.7</v>
      </c>
      <c r="P52" s="56" t="n">
        <f aca="false">SUM(P49:P51)</f>
        <v>27582.66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2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4.8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68.25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47.85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42.9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13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15</v>
      </c>
      <c r="D67" s="17" t="s">
        <v>34</v>
      </c>
      <c r="F67" s="61" t="s">
        <v>87</v>
      </c>
      <c r="G67" s="62" t="n">
        <f aca="false">F52</f>
        <v>2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26882.6688</v>
      </c>
      <c r="D68" s="63" t="s">
        <v>10</v>
      </c>
      <c r="E68" s="65"/>
      <c r="F68" s="61" t="s">
        <v>89</v>
      </c>
      <c r="G68" s="62" t="n">
        <f aca="false">M52</f>
        <v>13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26882.6688</v>
      </c>
      <c r="D69" s="63" t="s">
        <v>10</v>
      </c>
      <c r="F69" s="66" t="s">
        <v>91</v>
      </c>
      <c r="G69" s="67" t="n">
        <f aca="false">SUM(G67:G68)</f>
        <v>15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27582.66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699.991199999997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39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71" t="s">
        <v>94</v>
      </c>
    </row>
    <row r="7" customFormat="false" ht="14.25" hidden="false" customHeight="true" outlineLevel="0" collapsed="false">
      <c r="A7" s="9" t="n">
        <v>2</v>
      </c>
      <c r="B7" s="9" t="s">
        <v>9</v>
      </c>
      <c r="C7" s="72" t="n">
        <f aca="false">CGO_PLOT_DIMENSIONS!C22</f>
        <v>3785.56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2158.02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1765.12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1408.21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9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CGO_PLOT_DIMENSIONS!I22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18170.688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5451.2064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23621.8944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CGO_PLOT_DIMENSIONS!H22</f>
        <v>3425.39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10276.17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22121.8944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294.958592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334.958592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33.4958592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368.4544512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12895.905792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10276.17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2619.735792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2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2158.02</v>
      </c>
      <c r="D49" s="39" t="n">
        <v>24</v>
      </c>
      <c r="E49" s="40" t="n">
        <f aca="false">24/3.3</f>
        <v>7.27272727272727</v>
      </c>
      <c r="F49" s="41" t="n">
        <f aca="false">MIN(C45, INT(D49/C18))</f>
        <v>2</v>
      </c>
      <c r="G49" s="41" t="n">
        <f aca="false">C49*F49</f>
        <v>4316.04</v>
      </c>
      <c r="H49" s="23" t="n">
        <f aca="false">F49*C18</f>
        <v>4.8</v>
      </c>
      <c r="I49" s="42" t="n">
        <f aca="false">D49-H49</f>
        <v>19.2</v>
      </c>
      <c r="J49" s="43" t="n">
        <f aca="false">INT(I49/C17)</f>
        <v>5</v>
      </c>
      <c r="K49" s="44" t="n">
        <f aca="false">J49*C49</f>
        <v>10790.1</v>
      </c>
      <c r="L49" s="23" t="n">
        <f aca="false">MIN(C24, K49)</f>
        <v>10790.1</v>
      </c>
      <c r="M49" s="23" t="n">
        <f aca="false">ROUNDUP((L49/C49),0)</f>
        <v>5</v>
      </c>
      <c r="N49" s="1" t="n">
        <f aca="false">C17*M49</f>
        <v>16.5</v>
      </c>
      <c r="O49" s="45" t="n">
        <f aca="false">H49+N49</f>
        <v>21.3</v>
      </c>
      <c r="P49" s="46" t="n">
        <f aca="false">M49*C49</f>
        <v>10790.1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1765.12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7060.48</v>
      </c>
      <c r="L50" s="23" t="n">
        <f aca="false">MAX(0, MIN(K50, C24 - L49))</f>
        <v>7060.48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7060.48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1408.21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14082.1</v>
      </c>
      <c r="L51" s="23" t="n">
        <f aca="false">MAX(0, MIN(K51, C24 - L49 - L50))</f>
        <v>5771.3144</v>
      </c>
      <c r="M51" s="23" t="n">
        <f aca="false">ROUNDUP((L51/C51),0)</f>
        <v>5</v>
      </c>
      <c r="N51" s="1" t="n">
        <f aca="false">C17*M51</f>
        <v>16.5</v>
      </c>
      <c r="O51" s="45" t="n">
        <f aca="false">H51+N51</f>
        <v>16.5</v>
      </c>
      <c r="P51" s="46" t="n">
        <f aca="false">M51*C51</f>
        <v>7041.05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2</v>
      </c>
      <c r="G52" s="50" t="n">
        <f aca="false">SUM(G49:G51)</f>
        <v>4316.04</v>
      </c>
      <c r="H52" s="22" t="n">
        <f aca="false">SUM(H49:H51)</f>
        <v>4.8</v>
      </c>
      <c r="I52" s="51" t="s">
        <v>73</v>
      </c>
      <c r="J52" s="52" t="n">
        <f aca="false">SUM(J49:J51)</f>
        <v>19</v>
      </c>
      <c r="K52" s="52" t="n">
        <f aca="false">SUM(K49:K51)</f>
        <v>31932.68</v>
      </c>
      <c r="L52" s="22" t="n">
        <f aca="false">L49+L50+L51</f>
        <v>23621.8944</v>
      </c>
      <c r="M52" s="53" t="n">
        <f aca="false">SUM(M49:M51)</f>
        <v>14</v>
      </c>
      <c r="N52" s="54" t="n">
        <f aca="false">SUM(N49:N51)</f>
        <v>46.2</v>
      </c>
      <c r="O52" s="55" t="n">
        <f aca="false">SUM(O49:O51)</f>
        <v>51</v>
      </c>
      <c r="P52" s="56" t="n">
        <f aca="false">SUM(P49:P51)</f>
        <v>24891.63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2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4.8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68.25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51.15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46.2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14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16</v>
      </c>
      <c r="D67" s="17" t="s">
        <v>34</v>
      </c>
      <c r="F67" s="61" t="s">
        <v>87</v>
      </c>
      <c r="G67" s="62" t="n">
        <f aca="false">F52</f>
        <v>2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23621.8944</v>
      </c>
      <c r="D68" s="63" t="s">
        <v>10</v>
      </c>
      <c r="E68" s="65"/>
      <c r="F68" s="61" t="s">
        <v>89</v>
      </c>
      <c r="G68" s="62" t="n">
        <f aca="false">M52</f>
        <v>14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23621.8944</v>
      </c>
      <c r="D69" s="63" t="s">
        <v>10</v>
      </c>
      <c r="F69" s="66" t="s">
        <v>91</v>
      </c>
      <c r="G69" s="67" t="n">
        <f aca="false">SUM(G67:G68)</f>
        <v>16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24891.63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1269.7356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60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95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v>2104.16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965.49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654.16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378.82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9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CGO_PLOT_DIMENSIONS!I21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10099.968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3029.9904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13129.9584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CGO_PLOT_DIMENSIONS!H21</f>
        <v>1825.49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5476.47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11629.9584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155.066112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195.066112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19.5066112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214.5727232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7510.045312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5476.47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2033.575312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3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965.49</v>
      </c>
      <c r="D49" s="39" t="n">
        <v>24</v>
      </c>
      <c r="E49" s="40" t="n">
        <f aca="false">24/3.3</f>
        <v>7.27272727272727</v>
      </c>
      <c r="F49" s="41" t="n">
        <f aca="false">MIN(C45, INT(D49/C18))</f>
        <v>3</v>
      </c>
      <c r="G49" s="41" t="n">
        <f aca="false">C49*F49</f>
        <v>2896.47</v>
      </c>
      <c r="H49" s="23" t="n">
        <f aca="false">F49*C18</f>
        <v>7.2</v>
      </c>
      <c r="I49" s="42" t="n">
        <f aca="false">D49-H49</f>
        <v>16.8</v>
      </c>
      <c r="J49" s="43" t="n">
        <f aca="false">INT(I49/C17)</f>
        <v>5</v>
      </c>
      <c r="K49" s="44" t="n">
        <f aca="false">J49*C49</f>
        <v>4827.45</v>
      </c>
      <c r="L49" s="23" t="n">
        <f aca="false">MIN(C24, K49)</f>
        <v>4827.45</v>
      </c>
      <c r="M49" s="23" t="n">
        <f aca="false">ROUNDUP((L49/C49),0)</f>
        <v>5</v>
      </c>
      <c r="N49" s="1" t="n">
        <f aca="false">C17*M49</f>
        <v>16.5</v>
      </c>
      <c r="O49" s="45" t="n">
        <f aca="false">H49+N49</f>
        <v>23.7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654.16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2616.64</v>
      </c>
      <c r="L50" s="23" t="n">
        <f aca="false">MAX(0, MIN(K50, C24 - L49))</f>
        <v>2616.64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378.82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3788.2</v>
      </c>
      <c r="L51" s="23" t="n">
        <f aca="false">MAX(0, MIN(K51, C24 - L49 - L50))</f>
        <v>3788.2</v>
      </c>
      <c r="M51" s="23" t="n">
        <f aca="false">ROUNDUP((L51/C51),0)</f>
        <v>10</v>
      </c>
      <c r="N51" s="1" t="n">
        <f aca="false">C17*M51</f>
        <v>33</v>
      </c>
      <c r="O51" s="45" t="n">
        <f aca="false">H51+N51</f>
        <v>33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3</v>
      </c>
      <c r="G52" s="50" t="n">
        <f aca="false">SUM(G49:G51)</f>
        <v>2896.47</v>
      </c>
      <c r="H52" s="22" t="n">
        <f aca="false">SUM(H49:H51)</f>
        <v>7.2</v>
      </c>
      <c r="I52" s="51" t="s">
        <v>73</v>
      </c>
      <c r="J52" s="52" t="n">
        <f aca="false">SUM(J49:J51)</f>
        <v>19</v>
      </c>
      <c r="K52" s="52" t="n">
        <f aca="false">SUM(K49:K51)</f>
        <v>11232.29</v>
      </c>
      <c r="L52" s="22" t="n">
        <f aca="false">L49+L50+L51</f>
        <v>11232.29</v>
      </c>
      <c r="M52" s="53" t="n">
        <f aca="false">SUM(M49:M51)</f>
        <v>19</v>
      </c>
      <c r="N52" s="54" t="n">
        <f aca="false">SUM(N49:N51)</f>
        <v>62.7</v>
      </c>
      <c r="O52" s="55" t="n">
        <f aca="false">SUM(O49:O51)</f>
        <v>69.9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3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7.2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65.85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70.05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62.7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19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19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22</v>
      </c>
      <c r="D67" s="17" t="s">
        <v>34</v>
      </c>
      <c r="F67" s="61" t="s">
        <v>87</v>
      </c>
      <c r="G67" s="62" t="n">
        <f aca="false">F52</f>
        <v>3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13129.9584</v>
      </c>
      <c r="D68" s="63" t="s">
        <v>10</v>
      </c>
      <c r="E68" s="65"/>
      <c r="F68" s="61" t="s">
        <v>89</v>
      </c>
      <c r="G68" s="62" t="n">
        <f aca="false">M52</f>
        <v>19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11232.29</v>
      </c>
      <c r="D69" s="63" t="s">
        <v>10</v>
      </c>
      <c r="F69" s="66" t="s">
        <v>91</v>
      </c>
      <c r="G69" s="67" t="n">
        <f aca="false">SUM(G67:G68)</f>
        <v>22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11,232 Sqm against a permissible BUA of 13,130 Sqm — only 85.5%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1.75, 11 total floors, achieving 1,916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2.69, 11 total floors, achieving 5,878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114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29" t="n">
        <f aca="false">CGO_PLOT_DIMENSIONS!C38</f>
        <v>33.99</v>
      </c>
    </row>
    <row r="88" customFormat="false" ht="14.25" hidden="false" customHeight="true" outlineLevel="0" collapsed="false">
      <c r="A88" s="29" t="s">
        <v>116</v>
      </c>
      <c r="B88" s="29" t="n">
        <f aca="false">CGO_PLOT_DIMENSIONS!B38</f>
        <v>30.98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2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1053.0102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121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15.99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14.98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239.5302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2634.8322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1844.38254</v>
      </c>
    </row>
    <row r="108" customFormat="false" ht="14.25" hidden="false" customHeight="true" outlineLevel="0" collapsed="false">
      <c r="A108" s="29" t="s">
        <v>129</v>
      </c>
      <c r="B108" s="83" t="n">
        <f aca="false">B107/B94</f>
        <v>1.75153340394993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30.99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27.98</v>
      </c>
      <c r="G113" s="29" t="s">
        <v>135</v>
      </c>
      <c r="H113" s="29" t="n">
        <f aca="false">IF(B107&lt;=1500, "BUA IS MET", B107-1500)</f>
        <v>344.38254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867.1002</v>
      </c>
      <c r="G114" s="29" t="s">
        <v>137</v>
      </c>
      <c r="H114" s="29" t="n">
        <f aca="false">IF(B107&lt;=1500,0,H113/75)</f>
        <v>4.5917672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2601.3006</v>
      </c>
      <c r="G115" s="29" t="s">
        <v>139</v>
      </c>
      <c r="H115" s="29" t="n">
        <f aca="false">H112+H114</f>
        <v>44.5917672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74.3228742857143</v>
      </c>
      <c r="G116" s="29" t="s">
        <v>141</v>
      </c>
      <c r="H116" s="29" t="n">
        <f aca="false">H115*0.1</f>
        <v>4.45917672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50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1750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239.5302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2634.8322</v>
      </c>
      <c r="L120" s="29" t="n">
        <f aca="false">MIN(B107,K120)</f>
        <v>1844.38254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1916.2416</v>
      </c>
      <c r="Q120" s="88" t="n">
        <f aca="false">P120-B107</f>
        <v>71.8590600000002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148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29" t="n">
        <f aca="false">CGO_PLOT_DIMENSIONS!C38</f>
        <v>33.99</v>
      </c>
    </row>
    <row r="126" customFormat="false" ht="14.25" hidden="false" customHeight="true" outlineLevel="0" collapsed="false">
      <c r="A126" s="29" t="s">
        <v>116</v>
      </c>
      <c r="B126" s="29" t="n">
        <f aca="false">CGO_PLOT_DIMENSIONS!B38+CGO_PLOT_DIMENSIONS!B39</f>
        <v>61.95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2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2105.6805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121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15.99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45.95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734.7405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8082.1455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5657.50185</v>
      </c>
    </row>
    <row r="146" customFormat="false" ht="14.25" hidden="false" customHeight="true" outlineLevel="0" collapsed="false">
      <c r="A146" s="29" t="s">
        <v>129</v>
      </c>
      <c r="B146" s="83" t="n">
        <f aca="false">B145/B132</f>
        <v>2.68678075804948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30.99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58.95</v>
      </c>
      <c r="G151" s="29" t="s">
        <v>135</v>
      </c>
      <c r="H151" s="29" t="n">
        <f aca="false">IF(B145&lt;=1500, "BUA IS MET", B145-1500)</f>
        <v>4157.50185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1826.8605</v>
      </c>
      <c r="G152" s="29" t="s">
        <v>137</v>
      </c>
      <c r="H152" s="29" t="n">
        <f aca="false">IF(B145&lt;=1500,0,H151/75)</f>
        <v>55.433358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5480.5815</v>
      </c>
      <c r="G153" s="29" t="s">
        <v>139</v>
      </c>
      <c r="H153" s="29" t="n">
        <f aca="false">H150+H152</f>
        <v>95.433358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156.588042857143</v>
      </c>
      <c r="G154" s="29" t="s">
        <v>141</v>
      </c>
      <c r="H154" s="29" t="n">
        <f aca="false">H153*0.1</f>
        <v>9.5433358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105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3675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734.7405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8082.1455</v>
      </c>
      <c r="L158" s="29" t="n">
        <f aca="false">MIN(B145,K158)</f>
        <v>5657.50185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5877.924</v>
      </c>
      <c r="Q158" s="88" t="n">
        <f aca="false">P158-B145</f>
        <v>220.42215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20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71" t="s">
        <v>149</v>
      </c>
    </row>
    <row r="7" customFormat="false" ht="14.25" hidden="false" customHeight="true" outlineLevel="0" collapsed="false">
      <c r="A7" s="9" t="n">
        <v>2</v>
      </c>
      <c r="B7" s="9" t="s">
        <v>9</v>
      </c>
      <c r="C7" s="72" t="n">
        <v>3169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1726.18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1315.74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941.31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10.1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CGO_PLOT_DIMENSIONS!I12</f>
        <v>153.72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32006.9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9602.07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41608.97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CGO_PLOT_DIMENSIONS!H12</f>
        <v>2827.54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8482.62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40108.97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534.786266666667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574.786266666667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57.4786266666667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632.264893333333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22129.2712666667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8482.62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13646.6512666667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8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1726.18</v>
      </c>
      <c r="D49" s="39" t="n">
        <v>24</v>
      </c>
      <c r="E49" s="40" t="n">
        <f aca="false">24/3.3</f>
        <v>7.27272727272727</v>
      </c>
      <c r="F49" s="41" t="n">
        <f aca="false">MIN(C45, INT(D49/C18))</f>
        <v>8</v>
      </c>
      <c r="G49" s="41" t="n">
        <f aca="false">C49*F49</f>
        <v>13809.44</v>
      </c>
      <c r="H49" s="23" t="n">
        <f aca="false">F49*C18</f>
        <v>19.2</v>
      </c>
      <c r="I49" s="42" t="n">
        <f aca="false">D49-H49</f>
        <v>4.8</v>
      </c>
      <c r="J49" s="43" t="n">
        <f aca="false">INT(I49/C17)</f>
        <v>1</v>
      </c>
      <c r="K49" s="44" t="n">
        <f aca="false">J49*C49</f>
        <v>1726.18</v>
      </c>
      <c r="L49" s="23" t="n">
        <f aca="false">MIN(C24, K49)</f>
        <v>1726.18</v>
      </c>
      <c r="M49" s="23" t="n">
        <f aca="false">ROUNDUP((L49/C49),0)</f>
        <v>1</v>
      </c>
      <c r="N49" s="1" t="n">
        <f aca="false">C17*M49</f>
        <v>3.3</v>
      </c>
      <c r="O49" s="45" t="n">
        <f aca="false">H49+N49</f>
        <v>22.5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1315.74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5262.96</v>
      </c>
      <c r="L50" s="23" t="n">
        <f aca="false">MAX(0, MIN(K50, C24 - L49))</f>
        <v>5262.96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941.31</v>
      </c>
      <c r="D51" s="47" t="n">
        <f aca="false">$C$15 - 37.5</f>
        <v>116.22</v>
      </c>
      <c r="E51" s="12" t="n">
        <f aca="false">INT(D51/C17)</f>
        <v>35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116.22</v>
      </c>
      <c r="J51" s="43" t="n">
        <f aca="false">INT(I51/C17)</f>
        <v>35</v>
      </c>
      <c r="K51" s="44" t="n">
        <f aca="false">J51*C51</f>
        <v>32945.85</v>
      </c>
      <c r="L51" s="23" t="n">
        <f aca="false">MAX(0, MIN(K51, C24 - L49 - L50))</f>
        <v>32945.85</v>
      </c>
      <c r="M51" s="23" t="n">
        <f aca="false">ROUNDUP((L51/C51),0)</f>
        <v>35</v>
      </c>
      <c r="N51" s="1" t="n">
        <f aca="false">C17*M51</f>
        <v>115.5</v>
      </c>
      <c r="O51" s="45" t="n">
        <f aca="false">H51+N51</f>
        <v>115.5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8</v>
      </c>
      <c r="G52" s="50" t="n">
        <f aca="false">SUM(G49:G51)</f>
        <v>13809.44</v>
      </c>
      <c r="H52" s="22" t="n">
        <f aca="false">SUM(H49:H51)</f>
        <v>19.2</v>
      </c>
      <c r="I52" s="51" t="s">
        <v>73</v>
      </c>
      <c r="J52" s="52" t="n">
        <f aca="false">SUM(J49:J51)</f>
        <v>40</v>
      </c>
      <c r="K52" s="52" t="n">
        <f aca="false">SUM(K49:K51)</f>
        <v>39934.99</v>
      </c>
      <c r="L52" s="22" t="n">
        <f aca="false">L49+L50+L51</f>
        <v>39934.99</v>
      </c>
      <c r="M52" s="53" t="n">
        <f aca="false">SUM(M49:M51)</f>
        <v>40</v>
      </c>
      <c r="N52" s="54" t="n">
        <f aca="false">SUM(N49:N51)</f>
        <v>132</v>
      </c>
      <c r="O52" s="55" t="n">
        <f aca="false">SUM(O49:O51)</f>
        <v>151.2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153.72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8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19.2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134.37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151.35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132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48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40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48</v>
      </c>
      <c r="D67" s="17" t="s">
        <v>34</v>
      </c>
      <c r="F67" s="61" t="s">
        <v>87</v>
      </c>
      <c r="G67" s="62" t="n">
        <f aca="false">F52</f>
        <v>8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41608.97</v>
      </c>
      <c r="D68" s="63" t="s">
        <v>10</v>
      </c>
      <c r="E68" s="65"/>
      <c r="F68" s="61" t="s">
        <v>89</v>
      </c>
      <c r="G68" s="62" t="n">
        <f aca="false">M52</f>
        <v>40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39934.99</v>
      </c>
      <c r="D69" s="63" t="s">
        <v>10</v>
      </c>
      <c r="F69" s="66" t="s">
        <v>91</v>
      </c>
      <c r="G69" s="67" t="n">
        <f aca="false">SUM(G67:G68)</f>
        <v>48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39,935 Sqm against a permissible BUA of 41,609 Sqm — only 96.0%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150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CGO_PLOT_DIMENSIONS!C36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CGO_PLOT_DIMENSIONS!B36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152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CGO_PLOT_DIMENSIONS!C36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CGO_PLOT_DIMENSIONS!B36+CGO_PLOT_DIMENSIONS!B37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C48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153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v>3168.5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1725.79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1315.32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940.86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10.1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9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CGO_PLOT_DIMENSIONS!I11</f>
        <v>153.72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32001.85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9600.555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41602.405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CGO_PLOT_DIMENSIONS!H11</f>
        <v>2827.04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8481.12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40102.405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534.698733333333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574.698733333333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57.4698733333333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632.168606666667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22125.9012333333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8481.12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13644.7812333333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8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1725.79</v>
      </c>
      <c r="D49" s="39" t="n">
        <v>24</v>
      </c>
      <c r="E49" s="40" t="n">
        <f aca="false">24/3.3</f>
        <v>7.27272727272727</v>
      </c>
      <c r="F49" s="41" t="n">
        <f aca="false">MIN(C45, INT(D49/C18))</f>
        <v>8</v>
      </c>
      <c r="G49" s="41" t="n">
        <f aca="false">C49*F49</f>
        <v>13806.32</v>
      </c>
      <c r="H49" s="23" t="n">
        <f aca="false">F49*C18</f>
        <v>19.2</v>
      </c>
      <c r="I49" s="42" t="n">
        <f aca="false">D49-H49</f>
        <v>4.8</v>
      </c>
      <c r="J49" s="43" t="n">
        <f aca="false">INT(I49/C17)</f>
        <v>1</v>
      </c>
      <c r="K49" s="44" t="n">
        <f aca="false">J49*C49</f>
        <v>1725.79</v>
      </c>
      <c r="L49" s="23" t="n">
        <f aca="false">MIN(C24, K49)</f>
        <v>1725.79</v>
      </c>
      <c r="M49" s="23" t="n">
        <f aca="false">ROUNDUP((L49/C49),0)</f>
        <v>1</v>
      </c>
      <c r="N49" s="1" t="n">
        <f aca="false">C17*M49</f>
        <v>3.3</v>
      </c>
      <c r="O49" s="45" t="n">
        <f aca="false">H49+N49</f>
        <v>22.5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1315.32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5261.28</v>
      </c>
      <c r="L50" s="23" t="n">
        <f aca="false">MAX(0, MIN(K50, C24 - L49))</f>
        <v>5261.28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940.86</v>
      </c>
      <c r="D51" s="47" t="n">
        <f aca="false">$C$15 - 37.5</f>
        <v>116.22</v>
      </c>
      <c r="E51" s="12" t="n">
        <f aca="false">INT(D51/C17)</f>
        <v>35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116.22</v>
      </c>
      <c r="J51" s="43" t="n">
        <f aca="false">INT(I51/C17)</f>
        <v>35</v>
      </c>
      <c r="K51" s="44" t="n">
        <f aca="false">J51*C51</f>
        <v>32930.1</v>
      </c>
      <c r="L51" s="23" t="n">
        <f aca="false">MAX(0, MIN(K51, C24 - L49 - L50))</f>
        <v>32930.1</v>
      </c>
      <c r="M51" s="23" t="n">
        <f aca="false">ROUNDUP((L51/C51),0)</f>
        <v>35</v>
      </c>
      <c r="N51" s="1" t="n">
        <f aca="false">C17*M51</f>
        <v>115.5</v>
      </c>
      <c r="O51" s="45" t="n">
        <f aca="false">H51+N51</f>
        <v>115.5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8</v>
      </c>
      <c r="G52" s="50" t="n">
        <f aca="false">SUM(G49:G51)</f>
        <v>13806.32</v>
      </c>
      <c r="H52" s="22" t="n">
        <f aca="false">SUM(H49:H51)</f>
        <v>19.2</v>
      </c>
      <c r="I52" s="51" t="s">
        <v>73</v>
      </c>
      <c r="J52" s="52" t="n">
        <f aca="false">SUM(J49:J51)</f>
        <v>40</v>
      </c>
      <c r="K52" s="52" t="n">
        <f aca="false">SUM(K49:K51)</f>
        <v>39917.17</v>
      </c>
      <c r="L52" s="22" t="n">
        <f aca="false">L49+L50+L51</f>
        <v>39917.17</v>
      </c>
      <c r="M52" s="53" t="n">
        <f aca="false">SUM(M49:M51)</f>
        <v>40</v>
      </c>
      <c r="N52" s="54" t="n">
        <f aca="false">SUM(N49:N51)</f>
        <v>132</v>
      </c>
      <c r="O52" s="55" t="n">
        <f aca="false">SUM(O49:O51)</f>
        <v>151.2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153.72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8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19.2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134.37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151.35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132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48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40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48</v>
      </c>
      <c r="D67" s="17" t="s">
        <v>34</v>
      </c>
      <c r="F67" s="61" t="s">
        <v>87</v>
      </c>
      <c r="G67" s="62" t="n">
        <f aca="false">F52</f>
        <v>8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41602.405</v>
      </c>
      <c r="D68" s="63" t="s">
        <v>10</v>
      </c>
      <c r="E68" s="65"/>
      <c r="F68" s="61" t="s">
        <v>89</v>
      </c>
      <c r="G68" s="62" t="n">
        <f aca="false">M52</f>
        <v>40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39917.17</v>
      </c>
      <c r="D69" s="63" t="s">
        <v>10</v>
      </c>
      <c r="F69" s="66" t="s">
        <v>91</v>
      </c>
      <c r="G69" s="67" t="n">
        <f aca="false">SUM(G67:G68)</f>
        <v>48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39,917 Sqm against a permissible BUA of 41,602 Sqm — only 95.9%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154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CGO_PLOT_DIMENSIONS!C34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CGO_PLOT_DIMENSIONS!B34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155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CGO_PLOT_DIMENSIONS!C34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CGO_PLOT_DIMENSIONS!B34+CGO_PLOT_DIMENSIONS!B35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C37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156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v>3172.69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1728.8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1317.8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942.79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9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CGO_PLOT_DIMENSIONS!I15</f>
        <v>87.84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12690.76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3807.228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16497.988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CGO_PLOT_DIMENSIONS!H15</f>
        <v>2830.95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8492.85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14997.988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199.973173333333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239.973173333333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23.9973173333333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263.970490666667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9238.96717333333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8492.85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746.117173333334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90" t="n">
        <f aca="false">ROUNDUP( C44 / C8, 0)</f>
        <v>1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1728.8</v>
      </c>
      <c r="D49" s="39" t="n">
        <v>24</v>
      </c>
      <c r="E49" s="40" t="n">
        <f aca="false">24/3.3</f>
        <v>7.27272727272727</v>
      </c>
      <c r="F49" s="91" t="n">
        <f aca="false">MIN(C45, INT(D49/C18))</f>
        <v>1</v>
      </c>
      <c r="G49" s="41" t="n">
        <f aca="false">C49*F49</f>
        <v>1728.8</v>
      </c>
      <c r="H49" s="23" t="n">
        <f aca="false">F49*C18</f>
        <v>2.4</v>
      </c>
      <c r="I49" s="42" t="n">
        <f aca="false">D49-H49</f>
        <v>21.6</v>
      </c>
      <c r="J49" s="43" t="n">
        <f aca="false">INT(I49/C17)</f>
        <v>6</v>
      </c>
      <c r="K49" s="44" t="n">
        <f aca="false">J49*C49</f>
        <v>10372.8</v>
      </c>
      <c r="L49" s="23" t="n">
        <f aca="false">MIN(C24, K49)</f>
        <v>10372.8</v>
      </c>
      <c r="M49" s="23" t="n">
        <f aca="false">ROUNDUP((L49/C49),0)</f>
        <v>6</v>
      </c>
      <c r="N49" s="1" t="n">
        <f aca="false">C17*M49</f>
        <v>19.8</v>
      </c>
      <c r="O49" s="45" t="n">
        <f aca="false">H49+N49</f>
        <v>22.2</v>
      </c>
      <c r="P49" s="46" t="n">
        <f aca="false">M49*C49</f>
        <v>10372.8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1317.8</v>
      </c>
      <c r="D50" s="39" t="n">
        <v>13.5</v>
      </c>
      <c r="E50" s="40" t="n">
        <f aca="false">D50/3.3</f>
        <v>4.09090909090909</v>
      </c>
      <c r="F50" s="9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5271.2</v>
      </c>
      <c r="L50" s="23" t="n">
        <f aca="false">MAX(0, MIN(K50, C24 - L49))</f>
        <v>5271.2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5271.2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942.79</v>
      </c>
      <c r="D51" s="47" t="n">
        <f aca="false">$C$15 - 37.5</f>
        <v>50.34</v>
      </c>
      <c r="E51" s="12" t="n">
        <f aca="false">INT(D51/C17)</f>
        <v>15</v>
      </c>
      <c r="F51" s="9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50.34</v>
      </c>
      <c r="J51" s="43" t="n">
        <f aca="false">INT(I51/C17)</f>
        <v>15</v>
      </c>
      <c r="K51" s="44" t="n">
        <f aca="false">J51*C51</f>
        <v>14141.85</v>
      </c>
      <c r="L51" s="23" t="n">
        <f aca="false">MAX(0, MIN(K51, C24 - L49 - L50))</f>
        <v>853.988000000002</v>
      </c>
      <c r="M51" s="23" t="n">
        <f aca="false">ROUNDUP((L51/C51),0)</f>
        <v>1</v>
      </c>
      <c r="N51" s="1" t="n">
        <f aca="false">C17*M51</f>
        <v>3.3</v>
      </c>
      <c r="O51" s="45" t="n">
        <f aca="false">H51+N51</f>
        <v>3.3</v>
      </c>
      <c r="P51" s="46" t="n">
        <f aca="false">M51*C51</f>
        <v>942.79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1</v>
      </c>
      <c r="G52" s="50" t="n">
        <f aca="false">SUM(G49:G51)</f>
        <v>1728.8</v>
      </c>
      <c r="H52" s="22" t="n">
        <f aca="false">SUM(H49:H51)</f>
        <v>2.4</v>
      </c>
      <c r="I52" s="51" t="s">
        <v>73</v>
      </c>
      <c r="J52" s="52" t="n">
        <f aca="false">SUM(J49:J51)</f>
        <v>25</v>
      </c>
      <c r="K52" s="52" t="n">
        <f aca="false">SUM(K49:K51)</f>
        <v>29785.85</v>
      </c>
      <c r="L52" s="22" t="n">
        <f aca="false">L49+L50+L51</f>
        <v>16497.988</v>
      </c>
      <c r="M52" s="53" t="n">
        <f aca="false">SUM(M49:M51)</f>
        <v>11</v>
      </c>
      <c r="N52" s="54" t="n">
        <f aca="false">SUM(N49:N51)</f>
        <v>36.3</v>
      </c>
      <c r="O52" s="55" t="n">
        <f aca="false">SUM(O49:O51)</f>
        <v>38.7</v>
      </c>
      <c r="P52" s="56" t="n">
        <f aca="false">SUM(P49:P51)</f>
        <v>16586.79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87.84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1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2.4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85.29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38.85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36.3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25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26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11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12</v>
      </c>
      <c r="D67" s="17" t="s">
        <v>34</v>
      </c>
      <c r="F67" s="61" t="s">
        <v>87</v>
      </c>
      <c r="G67" s="62" t="n">
        <f aca="false">F52</f>
        <v>1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16497.988</v>
      </c>
      <c r="D68" s="63" t="s">
        <v>10</v>
      </c>
      <c r="E68" s="65"/>
      <c r="F68" s="61" t="s">
        <v>89</v>
      </c>
      <c r="G68" s="62" t="n">
        <f aca="false">M52</f>
        <v>11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16497.988</v>
      </c>
      <c r="D69" s="63" t="s">
        <v>10</v>
      </c>
      <c r="F69" s="66" t="s">
        <v>91</v>
      </c>
      <c r="G69" s="67" t="n">
        <f aca="false">SUM(G67:G68)</f>
        <v>12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16586.79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88.8019999999997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37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71" t="s">
        <v>157</v>
      </c>
    </row>
    <row r="7" customFormat="false" ht="14.25" hidden="false" customHeight="true" outlineLevel="0" collapsed="false">
      <c r="A7" s="9" t="n">
        <v>2</v>
      </c>
      <c r="B7" s="9" t="s">
        <v>9</v>
      </c>
      <c r="C7" s="72" t="n">
        <v>3171.66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1728.05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1317.13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942.2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CGO_PLOT_DIMENSIONS!I14</f>
        <v>87.84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12686.64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3805.992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16492.632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CGO_PLOT_DIMENSIONS!H14</f>
        <v>2829.98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8489.94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s">
        <v>158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199.90176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239.90176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23.990176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263.891936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9236.21776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8489.94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746.277759999999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1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1728.05</v>
      </c>
      <c r="D49" s="39" t="n">
        <v>24</v>
      </c>
      <c r="E49" s="40" t="n">
        <f aca="false">24/3.3</f>
        <v>7.27272727272727</v>
      </c>
      <c r="F49" s="41" t="n">
        <f aca="false">MIN(C45, INT(D49/C18))</f>
        <v>1</v>
      </c>
      <c r="G49" s="41" t="n">
        <f aca="false">C49*F49</f>
        <v>1728.05</v>
      </c>
      <c r="H49" s="23" t="n">
        <f aca="false">F49*C18</f>
        <v>2.4</v>
      </c>
      <c r="I49" s="42" t="n">
        <f aca="false">D49-H49</f>
        <v>21.6</v>
      </c>
      <c r="J49" s="43" t="n">
        <f aca="false">INT(I49/C17)</f>
        <v>6</v>
      </c>
      <c r="K49" s="44" t="n">
        <f aca="false">J49*C49</f>
        <v>10368.3</v>
      </c>
      <c r="L49" s="23" t="n">
        <f aca="false">MIN(C24, K49)</f>
        <v>10368.3</v>
      </c>
      <c r="M49" s="23" t="n">
        <f aca="false">ROUNDUP((L49/C49),0)</f>
        <v>6</v>
      </c>
      <c r="N49" s="1" t="n">
        <f aca="false">C17*M49</f>
        <v>19.8</v>
      </c>
      <c r="O49" s="45" t="n">
        <f aca="false">H49+N49</f>
        <v>22.2</v>
      </c>
      <c r="P49" s="46" t="n">
        <f aca="false">M49*C49</f>
        <v>10368.3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1317.13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5268.52</v>
      </c>
      <c r="L50" s="23" t="n">
        <f aca="false">MAX(0, MIN(K50, C24 - L49))</f>
        <v>5268.52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5268.52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942.2</v>
      </c>
      <c r="D51" s="47" t="n">
        <f aca="false">$C$15 - 37.5</f>
        <v>50.34</v>
      </c>
      <c r="E51" s="12" t="n">
        <f aca="false">INT(D51/C17)</f>
        <v>15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50.34</v>
      </c>
      <c r="J51" s="43" t="n">
        <f aca="false">INT(I51/C17)</f>
        <v>15</v>
      </c>
      <c r="K51" s="44" t="n">
        <f aca="false">J51*C51</f>
        <v>14133</v>
      </c>
      <c r="L51" s="23" t="n">
        <f aca="false">MAX(0, MIN(K51, C24 - L49 - L50))</f>
        <v>855.811999999998</v>
      </c>
      <c r="M51" s="23" t="n">
        <f aca="false">ROUNDUP((L51/C51),0)</f>
        <v>1</v>
      </c>
      <c r="N51" s="1" t="n">
        <f aca="false">C17*M51</f>
        <v>3.3</v>
      </c>
      <c r="O51" s="45" t="n">
        <f aca="false">H51+N51</f>
        <v>3.3</v>
      </c>
      <c r="P51" s="46" t="n">
        <f aca="false">M51*C51</f>
        <v>942.2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1</v>
      </c>
      <c r="G52" s="50" t="n">
        <f aca="false">SUM(G49:G51)</f>
        <v>1728.05</v>
      </c>
      <c r="H52" s="22" t="n">
        <f aca="false">SUM(H49:H51)</f>
        <v>2.4</v>
      </c>
      <c r="I52" s="51" t="s">
        <v>73</v>
      </c>
      <c r="J52" s="52" t="n">
        <f aca="false">SUM(J49:J51)</f>
        <v>25</v>
      </c>
      <c r="K52" s="52" t="n">
        <f aca="false">SUM(K49:K51)</f>
        <v>29769.82</v>
      </c>
      <c r="L52" s="22" t="n">
        <f aca="false">L49+L50+L51</f>
        <v>16492.632</v>
      </c>
      <c r="M52" s="53" t="n">
        <f aca="false">SUM(M49:M51)</f>
        <v>11</v>
      </c>
      <c r="N52" s="54" t="n">
        <f aca="false">SUM(N49:N51)</f>
        <v>36.3</v>
      </c>
      <c r="O52" s="55" t="n">
        <f aca="false">SUM(O49:O51)</f>
        <v>38.7</v>
      </c>
      <c r="P52" s="56" t="n">
        <f aca="false">SUM(P49:P51)</f>
        <v>16579.02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87.84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1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2.4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85.29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38.85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36.3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25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26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11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12</v>
      </c>
      <c r="D67" s="17" t="s">
        <v>34</v>
      </c>
      <c r="F67" s="61" t="s">
        <v>87</v>
      </c>
      <c r="G67" s="62" t="n">
        <f aca="false">F52</f>
        <v>1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16492.632</v>
      </c>
      <c r="D68" s="63" t="s">
        <v>10</v>
      </c>
      <c r="E68" s="65"/>
      <c r="F68" s="61" t="s">
        <v>89</v>
      </c>
      <c r="G68" s="62" t="n">
        <f aca="false">M52</f>
        <v>11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16492.632</v>
      </c>
      <c r="D69" s="63" t="s">
        <v>10</v>
      </c>
      <c r="F69" s="66" t="s">
        <v>91</v>
      </c>
      <c r="G69" s="67" t="n">
        <f aca="false">SUM(G67:G68)</f>
        <v>12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16579.02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86.3880000000027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92" t="str">
        <f aca="false">CGO_PLOT_DIMENSIONS!B19</f>
        <v>158  5/6</v>
      </c>
    </row>
    <row r="7" customFormat="false" ht="14.25" hidden="false" customHeight="true" outlineLevel="0" collapsed="false">
      <c r="A7" s="9" t="n">
        <v>2</v>
      </c>
      <c r="B7" s="9" t="s">
        <v>9</v>
      </c>
      <c r="C7" s="93" t="n">
        <f aca="false">CGO_PLOT_DIMENSIONS!C19</f>
        <v>5093.99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93" t="n">
        <f aca="false">CGO_PLOT_DIMENSIONS!D19</f>
        <v>3140.69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93" t="n">
        <f aca="false">CGO_PLOT_DIMENSIONS!E19</f>
        <v>2628.68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93" t="n">
        <f aca="false">CGO_PLOT_DIMENSIONS!F19</f>
        <v>2150.87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91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CGO_PLOT_DIMENSIONS!I19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24451.152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7335.3456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31786.4976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CGO_PLOT_DIMENSIONS!H19</f>
        <v>4661.95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13985.85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30286.4976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403.819968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443.819968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44.3819968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488.2019648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17087.068768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13985.85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3101.218768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1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3140.69</v>
      </c>
      <c r="D49" s="39" t="n">
        <v>24</v>
      </c>
      <c r="E49" s="40" t="n">
        <f aca="false">24/3.3</f>
        <v>7.27272727272727</v>
      </c>
      <c r="F49" s="41" t="n">
        <f aca="false">MIN(C45, INT(D49/C18))</f>
        <v>1</v>
      </c>
      <c r="G49" s="41" t="n">
        <f aca="false">C49*F49</f>
        <v>3140.69</v>
      </c>
      <c r="H49" s="23" t="n">
        <f aca="false">F49*C18</f>
        <v>2.4</v>
      </c>
      <c r="I49" s="42" t="n">
        <f aca="false">D49-H49</f>
        <v>21.6</v>
      </c>
      <c r="J49" s="43" t="n">
        <f aca="false">INT(I49/C17)</f>
        <v>6</v>
      </c>
      <c r="K49" s="44" t="n">
        <f aca="false">J49*C49</f>
        <v>18844.14</v>
      </c>
      <c r="L49" s="23" t="n">
        <f aca="false">MIN(C24, K49)</f>
        <v>18844.14</v>
      </c>
      <c r="M49" s="23" t="n">
        <f aca="false">ROUNDUP((L49/C49),0)</f>
        <v>6</v>
      </c>
      <c r="N49" s="1" t="n">
        <f aca="false">C17*M49</f>
        <v>19.8</v>
      </c>
      <c r="O49" s="45" t="n">
        <f aca="false">H49+N49</f>
        <v>22.2</v>
      </c>
      <c r="P49" s="46" t="n">
        <f aca="false">M49*C49</f>
        <v>18844.14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2628.68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10514.72</v>
      </c>
      <c r="L50" s="23" t="n">
        <f aca="false">MAX(0, MIN(K50, C24 - L49))</f>
        <v>10514.72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10514.72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2150.87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21508.7</v>
      </c>
      <c r="L51" s="23" t="n">
        <f aca="false">MAX(0, MIN(K51, C24 - L49 - L50))</f>
        <v>2427.6376</v>
      </c>
      <c r="M51" s="23" t="n">
        <f aca="false">ROUNDUP((L51/C51),0)</f>
        <v>2</v>
      </c>
      <c r="N51" s="1" t="n">
        <f aca="false">C17*M51</f>
        <v>6.6</v>
      </c>
      <c r="O51" s="45" t="n">
        <f aca="false">H51+N51</f>
        <v>6.6</v>
      </c>
      <c r="P51" s="46" t="n">
        <f aca="false">M51*C51</f>
        <v>4301.74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1</v>
      </c>
      <c r="G52" s="50" t="n">
        <f aca="false">SUM(G49:G51)</f>
        <v>3140.69</v>
      </c>
      <c r="H52" s="22" t="n">
        <f aca="false">SUM(H49:H51)</f>
        <v>2.4</v>
      </c>
      <c r="I52" s="51" t="s">
        <v>73</v>
      </c>
      <c r="J52" s="52" t="n">
        <f aca="false">SUM(J49:J51)</f>
        <v>20</v>
      </c>
      <c r="K52" s="52" t="n">
        <f aca="false">SUM(K49:K51)</f>
        <v>50867.56</v>
      </c>
      <c r="L52" s="22" t="n">
        <f aca="false">L49+L50+L51</f>
        <v>31786.4976</v>
      </c>
      <c r="M52" s="53" t="n">
        <f aca="false">SUM(M49:M51)</f>
        <v>12</v>
      </c>
      <c r="N52" s="54" t="n">
        <f aca="false">SUM(N49:N51)</f>
        <v>39.6</v>
      </c>
      <c r="O52" s="55" t="n">
        <f aca="false">SUM(O49:O51)</f>
        <v>42</v>
      </c>
      <c r="P52" s="56" t="n">
        <f aca="false">SUM(P49:P51)</f>
        <v>33660.6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1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2.4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70.65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42.15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39.6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21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12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13</v>
      </c>
      <c r="D67" s="17" t="s">
        <v>34</v>
      </c>
      <c r="F67" s="61" t="s">
        <v>87</v>
      </c>
      <c r="G67" s="62" t="n">
        <f aca="false">F52</f>
        <v>1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31786.4976</v>
      </c>
      <c r="D68" s="63" t="s">
        <v>10</v>
      </c>
      <c r="E68" s="65"/>
      <c r="F68" s="61" t="s">
        <v>89</v>
      </c>
      <c r="G68" s="62" t="n">
        <f aca="false">M52</f>
        <v>12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31786.4976</v>
      </c>
      <c r="D69" s="63" t="s">
        <v>10</v>
      </c>
      <c r="F69" s="66" t="s">
        <v>91</v>
      </c>
      <c r="G69" s="67" t="n">
        <f aca="false">SUM(G67:G68)</f>
        <v>13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33660.6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1874.1024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C95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71" t="s">
        <v>159</v>
      </c>
    </row>
    <row r="7" customFormat="false" ht="14.25" hidden="false" customHeight="true" outlineLevel="0" collapsed="false">
      <c r="A7" s="9" t="n">
        <v>2</v>
      </c>
      <c r="B7" s="9" t="s">
        <v>9</v>
      </c>
      <c r="C7" s="72" t="n">
        <f aca="false">CGO_PLOT_DIMENSIONS!C18</f>
        <v>3507.4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1972.23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1518.94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1101.65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CGO_PLOT_DIMENSIONS!I18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16835.52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5050.656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21886.176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CGO_PLOT_DIMENSIONS!H18</f>
        <v>3143.59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9430.77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20386.176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271.81568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311.81568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31.181568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342.997248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12004.90368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9430.77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2574.13368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2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1972.23</v>
      </c>
      <c r="D49" s="39" t="n">
        <v>24</v>
      </c>
      <c r="E49" s="40" t="n">
        <f aca="false">24/3.3</f>
        <v>7.27272727272727</v>
      </c>
      <c r="F49" s="41" t="n">
        <f aca="false">MIN(C45, INT(D49/C18))</f>
        <v>2</v>
      </c>
      <c r="G49" s="41" t="n">
        <f aca="false">C49*F49</f>
        <v>3944.46</v>
      </c>
      <c r="H49" s="23" t="n">
        <f aca="false">F49*C18</f>
        <v>4.8</v>
      </c>
      <c r="I49" s="42" t="n">
        <f aca="false">D49-H49</f>
        <v>19.2</v>
      </c>
      <c r="J49" s="43" t="n">
        <f aca="false">INT(I49/C17)</f>
        <v>5</v>
      </c>
      <c r="K49" s="44" t="n">
        <f aca="false">J49*C49</f>
        <v>9861.15</v>
      </c>
      <c r="L49" s="23" t="n">
        <f aca="false">MIN(C24, K49)</f>
        <v>9861.15</v>
      </c>
      <c r="M49" s="23" t="n">
        <f aca="false">ROUNDUP((L49/C49),0)</f>
        <v>5</v>
      </c>
      <c r="N49" s="1" t="n">
        <f aca="false">C17*M49</f>
        <v>16.5</v>
      </c>
      <c r="O49" s="45" t="n">
        <f aca="false">H49+N49</f>
        <v>21.3</v>
      </c>
      <c r="P49" s="46" t="n">
        <f aca="false">M49*C49</f>
        <v>9861.15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1518.94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6075.76</v>
      </c>
      <c r="L50" s="23" t="n">
        <f aca="false">MAX(0, MIN(K50, C24 - L49))</f>
        <v>6075.76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6075.76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1101.65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11016.5</v>
      </c>
      <c r="L51" s="23" t="n">
        <f aca="false">MAX(0, MIN(K51, C24 - L49 - L50))</f>
        <v>5949.266</v>
      </c>
      <c r="M51" s="23" t="n">
        <f aca="false">ROUNDUP((L51/C51),0)</f>
        <v>6</v>
      </c>
      <c r="N51" s="1" t="n">
        <f aca="false">C17*M51</f>
        <v>19.8</v>
      </c>
      <c r="O51" s="45" t="n">
        <f aca="false">H51+N51</f>
        <v>19.8</v>
      </c>
      <c r="P51" s="46" t="n">
        <f aca="false">M51*C51</f>
        <v>6609.9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2</v>
      </c>
      <c r="G52" s="50" t="n">
        <f aca="false">SUM(G49:G51)</f>
        <v>3944.46</v>
      </c>
      <c r="H52" s="22" t="n">
        <f aca="false">SUM(H49:H51)</f>
        <v>4.8</v>
      </c>
      <c r="I52" s="51" t="s">
        <v>73</v>
      </c>
      <c r="J52" s="52" t="n">
        <f aca="false">SUM(J49:J51)</f>
        <v>19</v>
      </c>
      <c r="K52" s="52" t="n">
        <f aca="false">SUM(K49:K51)</f>
        <v>26953.41</v>
      </c>
      <c r="L52" s="22" t="n">
        <f aca="false">L49+L50+L51</f>
        <v>21886.176</v>
      </c>
      <c r="M52" s="53" t="n">
        <f aca="false">SUM(M49:M51)</f>
        <v>15</v>
      </c>
      <c r="N52" s="54" t="n">
        <f aca="false">SUM(N49:N51)</f>
        <v>49.5</v>
      </c>
      <c r="O52" s="55" t="n">
        <f aca="false">SUM(O49:O51)</f>
        <v>54.3</v>
      </c>
      <c r="P52" s="56" t="n">
        <f aca="false">SUM(P49:P51)</f>
        <v>22546.81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2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4.8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68.25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54.45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49.5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15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17</v>
      </c>
      <c r="D67" s="17" t="s">
        <v>34</v>
      </c>
      <c r="F67" s="61" t="s">
        <v>87</v>
      </c>
      <c r="G67" s="62" t="n">
        <f aca="false">F52</f>
        <v>2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21886.176</v>
      </c>
      <c r="D68" s="63" t="s">
        <v>10</v>
      </c>
      <c r="E68" s="65"/>
      <c r="F68" s="61" t="s">
        <v>89</v>
      </c>
      <c r="G68" s="62" t="n">
        <f aca="false">M52</f>
        <v>15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21886.176</v>
      </c>
      <c r="D69" s="63" t="s">
        <v>10</v>
      </c>
      <c r="F69" s="66" t="s">
        <v>91</v>
      </c>
      <c r="G69" s="67" t="n">
        <f aca="false">SUM(G67:G68)</f>
        <v>17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22546.81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660.634000000002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C68" colorId="64" zoomScale="70" zoomScaleNormal="70" zoomScalePageLayoutView="100" workbookViewId="0">
      <selection pane="topLeft" activeCell="C37" activeCellId="0" sqref="C3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160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v>3508.84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1973.43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1520.09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1102.76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17" t="n">
        <v>4.8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CGO_PLOT_DIMENSIONS!I17</f>
        <v>73.2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16842.432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5052.7296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21895.1616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CGO_PLOT_DIMENSIONS!H17</f>
        <v>3145.08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9435.24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20395.1616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271.935488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311.935488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31.1935488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343.1290368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12009.516288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9435.24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2574.276288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2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  <c r="P48" s="38" t="s">
        <v>65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1973.43</v>
      </c>
      <c r="D49" s="39" t="n">
        <v>24</v>
      </c>
      <c r="E49" s="40" t="n">
        <f aca="false">24/3.3</f>
        <v>7.27272727272727</v>
      </c>
      <c r="F49" s="41" t="n">
        <f aca="false">MIN(C45, INT(D49/C18))</f>
        <v>2</v>
      </c>
      <c r="G49" s="41" t="n">
        <f aca="false">C49*F49</f>
        <v>3946.86</v>
      </c>
      <c r="H49" s="23" t="n">
        <f aca="false">F49*C18</f>
        <v>4.8</v>
      </c>
      <c r="I49" s="42" t="n">
        <f aca="false">D49-H49</f>
        <v>19.2</v>
      </c>
      <c r="J49" s="43" t="n">
        <f aca="false">INT(I49/C17)</f>
        <v>5</v>
      </c>
      <c r="K49" s="44" t="n">
        <f aca="false">J49*C49</f>
        <v>9867.15</v>
      </c>
      <c r="L49" s="23" t="n">
        <f aca="false">MIN(C24, K49)</f>
        <v>9867.15</v>
      </c>
      <c r="M49" s="23" t="n">
        <f aca="false">ROUNDUP((L49/C49),0)</f>
        <v>5</v>
      </c>
      <c r="N49" s="1" t="n">
        <f aca="false">C17*M49</f>
        <v>16.5</v>
      </c>
      <c r="O49" s="45" t="n">
        <f aca="false">H49+N49</f>
        <v>21.3</v>
      </c>
      <c r="P49" s="46" t="n">
        <f aca="false">M49*C49</f>
        <v>9867.15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1520.09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6080.36</v>
      </c>
      <c r="L50" s="23" t="n">
        <f aca="false">MAX(0, MIN(K50, C24 - L49))</f>
        <v>6080.36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  <c r="P50" s="46" t="n">
        <f aca="false">M50*C50</f>
        <v>6080.36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1102.76</v>
      </c>
      <c r="D51" s="47" t="n">
        <f aca="false">$C$15 - 37.5</f>
        <v>35.7</v>
      </c>
      <c r="E51" s="12" t="n">
        <f aca="false">INT(D51/C17)</f>
        <v>10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35.7</v>
      </c>
      <c r="J51" s="43" t="n">
        <f aca="false">INT(I51/C17)</f>
        <v>10</v>
      </c>
      <c r="K51" s="44" t="n">
        <f aca="false">J51*C51</f>
        <v>11027.6</v>
      </c>
      <c r="L51" s="23" t="n">
        <f aca="false">MAX(0, MIN(K51, C24 - L49 - L50))</f>
        <v>5947.6516</v>
      </c>
      <c r="M51" s="23" t="n">
        <f aca="false">ROUNDUP((L51/C51),0)</f>
        <v>6</v>
      </c>
      <c r="N51" s="1" t="n">
        <f aca="false">C17*M51</f>
        <v>19.8</v>
      </c>
      <c r="O51" s="45" t="n">
        <f aca="false">H51+N51</f>
        <v>19.8</v>
      </c>
      <c r="P51" s="46" t="n">
        <f aca="false">M51*C51</f>
        <v>6616.56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2</v>
      </c>
      <c r="G52" s="50" t="n">
        <f aca="false">SUM(G49:G51)</f>
        <v>3946.86</v>
      </c>
      <c r="H52" s="22" t="n">
        <f aca="false">SUM(H49:H51)</f>
        <v>4.8</v>
      </c>
      <c r="I52" s="51" t="s">
        <v>73</v>
      </c>
      <c r="J52" s="52" t="n">
        <f aca="false">SUM(J49:J51)</f>
        <v>19</v>
      </c>
      <c r="K52" s="52" t="n">
        <f aca="false">SUM(K49:K51)</f>
        <v>26975.11</v>
      </c>
      <c r="L52" s="22" t="n">
        <f aca="false">L49+L50+L51</f>
        <v>21895.1616</v>
      </c>
      <c r="M52" s="53" t="n">
        <f aca="false">SUM(M49:M51)</f>
        <v>15</v>
      </c>
      <c r="N52" s="54" t="n">
        <f aca="false">SUM(N49:N51)</f>
        <v>49.5</v>
      </c>
      <c r="O52" s="55" t="n">
        <f aca="false">SUM(O49:O51)</f>
        <v>54.3</v>
      </c>
      <c r="P52" s="56" t="n">
        <f aca="false">SUM(P49:P51)</f>
        <v>22564.07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73.2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2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4.8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68.25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54.45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49.5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20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22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15</v>
      </c>
      <c r="D66" s="17" t="s">
        <v>34</v>
      </c>
      <c r="F66" s="60" t="s">
        <v>85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17</v>
      </c>
      <c r="D67" s="17" t="s">
        <v>34</v>
      </c>
      <c r="F67" s="61" t="s">
        <v>87</v>
      </c>
      <c r="G67" s="62" t="n">
        <f aca="false">F52</f>
        <v>2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21895.1616</v>
      </c>
      <c r="D68" s="63" t="s">
        <v>10</v>
      </c>
      <c r="E68" s="65"/>
      <c r="F68" s="61" t="s">
        <v>89</v>
      </c>
      <c r="G68" s="62" t="n">
        <f aca="false">M52</f>
        <v>15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21895.1616</v>
      </c>
      <c r="D69" s="63" t="s">
        <v>10</v>
      </c>
      <c r="F69" s="66" t="s">
        <v>91</v>
      </c>
      <c r="G69" s="67" t="n">
        <f aca="false">SUM(G67:G68)</f>
        <v>17</v>
      </c>
    </row>
    <row r="70" customFormat="false" ht="14.25" hidden="false" customHeight="true" outlineLevel="0" collapsed="false">
      <c r="A70" s="17" t="n">
        <v>15</v>
      </c>
      <c r="B70" s="63" t="s">
        <v>92</v>
      </c>
      <c r="C70" s="64" t="n">
        <f aca="false">P52</f>
        <v>22564.07</v>
      </c>
      <c r="D70" s="63" t="s">
        <v>10</v>
      </c>
    </row>
    <row r="71" customFormat="false" ht="14.25" hidden="false" customHeight="true" outlineLevel="0" collapsed="false">
      <c r="A71" s="1" t="n">
        <v>16</v>
      </c>
      <c r="B71" s="1" t="s">
        <v>93</v>
      </c>
      <c r="C71" s="45" t="n">
        <f aca="false">C70-C24</f>
        <v>668.9084</v>
      </c>
      <c r="D71" s="63" t="s">
        <v>10</v>
      </c>
    </row>
    <row r="73" s="69" customFormat="true" ht="15" hidden="false" customHeight="tru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4.25" hidden="false" customHeight="true" outlineLevel="0" collapsed="false">
      <c r="P74" s="70"/>
    </row>
    <row r="79" customFormat="false" ht="29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</sheetData>
  <mergeCells count="9">
    <mergeCell ref="A1:D1"/>
    <mergeCell ref="A2:D2"/>
    <mergeCell ref="A4:D4"/>
    <mergeCell ref="A20:D20"/>
    <mergeCell ref="A26:D26"/>
    <mergeCell ref="A34:D34"/>
    <mergeCell ref="A47:J47"/>
    <mergeCell ref="A54:D54"/>
    <mergeCell ref="F66:G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98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71" t="s">
        <v>161</v>
      </c>
    </row>
    <row r="7" customFormat="false" ht="14.25" hidden="false" customHeight="true" outlineLevel="0" collapsed="false">
      <c r="A7" s="9" t="n">
        <v>2</v>
      </c>
      <c r="B7" s="9" t="s">
        <v>9</v>
      </c>
      <c r="C7" s="72" t="n">
        <v>3167.22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1724.52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1314.31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940.3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91" t="n">
        <f aca="false">CGO_PLOT_DIMENSIONS!G8</f>
        <v>10.8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CGO_PLOT_DIMENSIONS!I8</f>
        <v>164.7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34205.976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10261.7928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44467.7688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CGO_PLOT_DIMENSIONS!H8</f>
        <v>2825.86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8477.58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42967.7688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572.903584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612.903584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61.2903584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674.1939424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23596.787984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8477.58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15119.207984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9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1724.52</v>
      </c>
      <c r="D49" s="39" t="n">
        <v>24</v>
      </c>
      <c r="E49" s="40" t="n">
        <f aca="false">24/3.3</f>
        <v>7.27272727272727</v>
      </c>
      <c r="F49" s="41" t="n">
        <f aca="false">MIN(C45, INT(D49/C18))</f>
        <v>9</v>
      </c>
      <c r="G49" s="41" t="n">
        <f aca="false">C49*F49</f>
        <v>15520.68</v>
      </c>
      <c r="H49" s="23" t="n">
        <f aca="false">F49*C18</f>
        <v>21.6</v>
      </c>
      <c r="I49" s="42" t="n">
        <f aca="false">D49-H49</f>
        <v>2.4</v>
      </c>
      <c r="J49" s="43" t="n">
        <f aca="false">INT(I49/C17)</f>
        <v>0</v>
      </c>
      <c r="K49" s="44" t="n">
        <f aca="false">J49*C49</f>
        <v>0</v>
      </c>
      <c r="L49" s="23" t="n">
        <f aca="false">MIN(C24, K49)</f>
        <v>0</v>
      </c>
      <c r="M49" s="23" t="n">
        <f aca="false">ROUNDUP((L49/C49),0)</f>
        <v>0</v>
      </c>
      <c r="N49" s="1" t="n">
        <f aca="false">C17*M49</f>
        <v>0</v>
      </c>
      <c r="O49" s="45" t="n">
        <f aca="false">H49+N49</f>
        <v>21.6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1314.31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5257.24</v>
      </c>
      <c r="L50" s="23" t="n">
        <f aca="false">MAX(0, MIN(K50, C24 - L49))</f>
        <v>5257.24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940.3</v>
      </c>
      <c r="D51" s="47" t="n">
        <f aca="false">$C$15 - 37.5</f>
        <v>127.2</v>
      </c>
      <c r="E51" s="12" t="n">
        <f aca="false">INT(D51/C17)</f>
        <v>38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127.2</v>
      </c>
      <c r="J51" s="43" t="n">
        <f aca="false">INT(I51/C17)</f>
        <v>38</v>
      </c>
      <c r="K51" s="44" t="n">
        <f aca="false">J51*C51</f>
        <v>35731.4</v>
      </c>
      <c r="L51" s="23" t="n">
        <f aca="false">MAX(0, MIN(K51, C24 - L49 - L50))</f>
        <v>35731.4</v>
      </c>
      <c r="M51" s="23" t="n">
        <f aca="false">ROUNDUP((L51/C51),0)</f>
        <v>38</v>
      </c>
      <c r="N51" s="1" t="n">
        <f aca="false">C17*M51</f>
        <v>125.4</v>
      </c>
      <c r="O51" s="45" t="n">
        <f aca="false">H51+N51</f>
        <v>125.4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9</v>
      </c>
      <c r="G52" s="50" t="n">
        <f aca="false">SUM(G49:G51)</f>
        <v>15520.68</v>
      </c>
      <c r="H52" s="22" t="n">
        <f aca="false">SUM(H49:H51)</f>
        <v>21.6</v>
      </c>
      <c r="I52" s="51" t="s">
        <v>73</v>
      </c>
      <c r="J52" s="52" t="n">
        <f aca="false">SUM(J49:J51)</f>
        <v>42</v>
      </c>
      <c r="K52" s="52" t="n">
        <f aca="false">SUM(K49:K51)</f>
        <v>40988.64</v>
      </c>
      <c r="L52" s="22" t="n">
        <f aca="false">L49+L50+L51</f>
        <v>40988.64</v>
      </c>
      <c r="M52" s="53" t="n">
        <f aca="false">SUM(M49:M51)</f>
        <v>42</v>
      </c>
      <c r="N52" s="54" t="n">
        <f aca="false">SUM(N49:N51)</f>
        <v>138.6</v>
      </c>
      <c r="O52" s="55" t="n">
        <f aca="false">SUM(O49:O51)</f>
        <v>160.2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164.7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9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21.6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142.95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160.35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138.6</v>
      </c>
      <c r="D62" s="17" t="s">
        <v>20</v>
      </c>
      <c r="K62" s="45"/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  <c r="K63" s="45"/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43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52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42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51</v>
      </c>
      <c r="D67" s="17" t="s">
        <v>34</v>
      </c>
      <c r="F67" s="61" t="s">
        <v>87</v>
      </c>
      <c r="G67" s="62" t="n">
        <f aca="false">F52</f>
        <v>9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44467.7688</v>
      </c>
      <c r="D68" s="63" t="s">
        <v>10</v>
      </c>
      <c r="E68" s="65"/>
      <c r="F68" s="61" t="s">
        <v>89</v>
      </c>
      <c r="G68" s="62" t="n">
        <f aca="false">M52</f>
        <v>42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40988.64</v>
      </c>
      <c r="D69" s="63" t="s">
        <v>10</v>
      </c>
      <c r="F69" s="66" t="s">
        <v>91</v>
      </c>
      <c r="G69" s="67" t="n">
        <f aca="false">SUM(G67:G68)</f>
        <v>51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40,989 Sqm against a permissible BUA of 44,468 Sqm — only 92.2%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162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CGO_PLOT_DIMENSIONS!C30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CGO_PLOT_DIMENSIONS!B30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163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CGO_PLOT_DIMENSIONS!C30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CGO_PLOT_DIMENSIONS!B30+CGO_PLOT_DIMENSIONS!B31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12" colorId="64" zoomScale="60" zoomScaleNormal="6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10" t="s">
        <v>164</v>
      </c>
    </row>
    <row r="7" customFormat="false" ht="14.25" hidden="false" customHeight="true" outlineLevel="0" collapsed="false">
      <c r="A7" s="9" t="n">
        <v>2</v>
      </c>
      <c r="B7" s="9" t="s">
        <v>9</v>
      </c>
      <c r="C7" s="11" t="n">
        <v>3167.73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14" t="n">
        <v>1725.87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15" t="n">
        <v>1315.39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16" t="n">
        <v>940.54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91" t="n">
        <f aca="false">CGO_PLOT_DIMENSIONS!G9</f>
        <v>10.8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CGO_PLOT_DIMENSIONS!I9</f>
        <v>164.7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34211.484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10263.4452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44474.9292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CGO_PLOT_DIMENSIONS!H9</f>
        <v>2826.33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8478.99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42974.9292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572.999056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612.999056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61.2999056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674.2989616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23600.463656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8478.99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15121.473656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9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1725.87</v>
      </c>
      <c r="D49" s="39" t="n">
        <v>24</v>
      </c>
      <c r="E49" s="40" t="n">
        <f aca="false">24/3.3</f>
        <v>7.27272727272727</v>
      </c>
      <c r="F49" s="41" t="n">
        <f aca="false">MIN(C45, INT(D49/C18))</f>
        <v>9</v>
      </c>
      <c r="G49" s="41" t="n">
        <f aca="false">C49*F49</f>
        <v>15532.83</v>
      </c>
      <c r="H49" s="23" t="n">
        <f aca="false">F49*C18</f>
        <v>21.6</v>
      </c>
      <c r="I49" s="42" t="n">
        <f aca="false">D49-H49</f>
        <v>2.4</v>
      </c>
      <c r="J49" s="43" t="n">
        <f aca="false">INT(I49/C17)</f>
        <v>0</v>
      </c>
      <c r="K49" s="44" t="n">
        <f aca="false">J49*C49</f>
        <v>0</v>
      </c>
      <c r="L49" s="23" t="n">
        <f aca="false">MIN(C24, K49)</f>
        <v>0</v>
      </c>
      <c r="M49" s="23" t="n">
        <f aca="false">ROUNDUP((L49/C49),0)</f>
        <v>0</v>
      </c>
      <c r="N49" s="1" t="n">
        <f aca="false">C17*M49</f>
        <v>0</v>
      </c>
      <c r="O49" s="45" t="n">
        <f aca="false">H49+N49</f>
        <v>21.6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1315.39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5261.56</v>
      </c>
      <c r="L50" s="23" t="n">
        <f aca="false">MAX(0, MIN(K50, C24 - L49))</f>
        <v>5261.56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940.54</v>
      </c>
      <c r="D51" s="47" t="n">
        <f aca="false">$C$15 - 37.5</f>
        <v>127.2</v>
      </c>
      <c r="E51" s="12" t="n">
        <f aca="false">INT(D51/C17)</f>
        <v>38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127.2</v>
      </c>
      <c r="J51" s="43" t="n">
        <f aca="false">INT(I51/C17)</f>
        <v>38</v>
      </c>
      <c r="K51" s="44" t="n">
        <f aca="false">J51*C51</f>
        <v>35740.52</v>
      </c>
      <c r="L51" s="23" t="n">
        <f aca="false">MAX(0, MIN(K51, C24 - L49 - L50))</f>
        <v>35740.52</v>
      </c>
      <c r="M51" s="23" t="n">
        <f aca="false">ROUNDUP((L51/C51),0)</f>
        <v>38</v>
      </c>
      <c r="N51" s="1" t="n">
        <f aca="false">C17*M51</f>
        <v>125.4</v>
      </c>
      <c r="O51" s="45" t="n">
        <f aca="false">H51+N51</f>
        <v>125.4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9</v>
      </c>
      <c r="G52" s="50" t="n">
        <f aca="false">SUM(G49:G51)</f>
        <v>15532.83</v>
      </c>
      <c r="H52" s="22" t="n">
        <f aca="false">SUM(H49:H51)</f>
        <v>21.6</v>
      </c>
      <c r="I52" s="51" t="s">
        <v>73</v>
      </c>
      <c r="J52" s="52" t="n">
        <f aca="false">SUM(J49:J51)</f>
        <v>42</v>
      </c>
      <c r="K52" s="52" t="n">
        <f aca="false">SUM(K49:K51)</f>
        <v>41002.08</v>
      </c>
      <c r="L52" s="22" t="n">
        <f aca="false">L49+L50+L51</f>
        <v>41002.08</v>
      </c>
      <c r="M52" s="53" t="n">
        <f aca="false">SUM(M49:M51)</f>
        <v>42</v>
      </c>
      <c r="N52" s="54" t="n">
        <f aca="false">SUM(N49:N51)</f>
        <v>138.6</v>
      </c>
      <c r="O52" s="55" t="n">
        <f aca="false">SUM(O49:O51)</f>
        <v>160.2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164.7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9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21.6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142.95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160.35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138.6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43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52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42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51</v>
      </c>
      <c r="D67" s="17" t="s">
        <v>34</v>
      </c>
      <c r="F67" s="61" t="s">
        <v>87</v>
      </c>
      <c r="G67" s="62" t="n">
        <f aca="false">F52</f>
        <v>9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44474.9292</v>
      </c>
      <c r="D68" s="63" t="s">
        <v>10</v>
      </c>
      <c r="E68" s="65"/>
      <c r="F68" s="61" t="s">
        <v>89</v>
      </c>
      <c r="G68" s="62" t="n">
        <f aca="false">M52</f>
        <v>42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41002.08</v>
      </c>
      <c r="D69" s="63" t="s">
        <v>10</v>
      </c>
      <c r="F69" s="66" t="s">
        <v>91</v>
      </c>
      <c r="G69" s="67" t="n">
        <f aca="false">SUM(G67:G68)</f>
        <v>51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41,002 Sqm against a permissible BUA of 44,475 Sqm — only 92.2%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165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CGO_PLOT_DIMENSIONS!C32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CGO_PLOT_DIMENSIONS!B32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166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CGO_PLOT_DIMENSIONS!C32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CGO_PLOT_DIMENSIONS!B32+CGO_PLOT_DIMENSIONS!B33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true" showOutlineSymbols="true" defaultGridColor="true" view="normal" topLeftCell="A115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92" t="str">
        <f aca="false">CGO_PLOT_DIMENSIONS!B6</f>
        <v>145  3/4</v>
      </c>
    </row>
    <row r="7" customFormat="false" ht="14.25" hidden="false" customHeight="true" outlineLevel="0" collapsed="false">
      <c r="A7" s="9" t="n">
        <v>2</v>
      </c>
      <c r="B7" s="9" t="s">
        <v>9</v>
      </c>
      <c r="C7" s="93" t="n">
        <f aca="false">CGO_PLOT_DIMENSIONS!C6</f>
        <v>3167.85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93" t="n">
        <f aca="false">CGO_PLOT_DIMENSIONS!D6</f>
        <v>1725.34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93" t="n">
        <f aca="false">CGO_PLOT_DIMENSIONS!E6</f>
        <v>1314.98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93" t="n">
        <f aca="false">CGO_PLOT_DIMENSIONS!F6</f>
        <v>940.62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91" t="n">
        <f aca="false">CGO_PLOT_DIMENSIONS!G6</f>
        <v>10.8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f aca="false">CGO_PLOT_DIMENSIONS!I6</f>
        <v>164.7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34212.78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10263.834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44476.614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CGO_PLOT_DIMENSIONS!H6</f>
        <v>2826.44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8479.32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42976.614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573.02152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613.02152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61.302152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674.323672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23601.32852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8479.32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15122.00852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9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1725.34</v>
      </c>
      <c r="D49" s="39" t="n">
        <v>24</v>
      </c>
      <c r="E49" s="40" t="n">
        <f aca="false">24/3.3</f>
        <v>7.27272727272727</v>
      </c>
      <c r="F49" s="41" t="n">
        <f aca="false">MIN(C45, INT(D49/C18))</f>
        <v>9</v>
      </c>
      <c r="G49" s="41" t="n">
        <f aca="false">C49*F49</f>
        <v>15528.06</v>
      </c>
      <c r="H49" s="23" t="n">
        <f aca="false">F49*C18</f>
        <v>21.6</v>
      </c>
      <c r="I49" s="42" t="n">
        <f aca="false">D49-H49</f>
        <v>2.4</v>
      </c>
      <c r="J49" s="43" t="n">
        <f aca="false">INT(I49/C17)</f>
        <v>0</v>
      </c>
      <c r="K49" s="44" t="n">
        <f aca="false">J49*C49</f>
        <v>0</v>
      </c>
      <c r="L49" s="23" t="n">
        <f aca="false">MIN(C24, K49)</f>
        <v>0</v>
      </c>
      <c r="M49" s="23" t="n">
        <f aca="false">ROUNDUP((L49/C49),0)</f>
        <v>0</v>
      </c>
      <c r="N49" s="1" t="n">
        <f aca="false">C17*M49</f>
        <v>0</v>
      </c>
      <c r="O49" s="45" t="n">
        <f aca="false">H49+N49</f>
        <v>21.6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1314.98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5259.92</v>
      </c>
      <c r="L50" s="23" t="n">
        <f aca="false">MAX(0, MIN(K50, C24 - L49))</f>
        <v>5259.92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940.62</v>
      </c>
      <c r="D51" s="47" t="n">
        <f aca="false">$C$15 - 37.5</f>
        <v>127.2</v>
      </c>
      <c r="E51" s="12" t="n">
        <f aca="false">INT(D51/C17)</f>
        <v>38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127.2</v>
      </c>
      <c r="J51" s="43" t="n">
        <f aca="false">INT(I51/C17)</f>
        <v>38</v>
      </c>
      <c r="K51" s="44" t="n">
        <f aca="false">J51*C51</f>
        <v>35743.56</v>
      </c>
      <c r="L51" s="23" t="n">
        <f aca="false">MAX(0, MIN(K51, C24 - L49 - L50))</f>
        <v>35743.56</v>
      </c>
      <c r="M51" s="23" t="n">
        <f aca="false">ROUNDUP((L51/C51),0)</f>
        <v>38</v>
      </c>
      <c r="N51" s="1" t="n">
        <f aca="false">C17*M51</f>
        <v>125.4</v>
      </c>
      <c r="O51" s="45" t="n">
        <f aca="false">H51+N51</f>
        <v>125.4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9</v>
      </c>
      <c r="G52" s="50" t="n">
        <f aca="false">SUM(G49:G51)</f>
        <v>15528.06</v>
      </c>
      <c r="H52" s="22" t="n">
        <f aca="false">SUM(H49:H51)</f>
        <v>21.6</v>
      </c>
      <c r="I52" s="51" t="s">
        <v>167</v>
      </c>
      <c r="J52" s="52" t="n">
        <f aca="false">SUM(J49:J51)</f>
        <v>42</v>
      </c>
      <c r="K52" s="52" t="n">
        <f aca="false">SUM(K49:K51)</f>
        <v>41003.48</v>
      </c>
      <c r="L52" s="22" t="n">
        <f aca="false">L49+L50+L51</f>
        <v>41003.48</v>
      </c>
      <c r="M52" s="53" t="n">
        <f aca="false">SUM(M49:M51)</f>
        <v>42</v>
      </c>
      <c r="N52" s="54" t="n">
        <f aca="false">SUM(N49:N51)</f>
        <v>138.6</v>
      </c>
      <c r="O52" s="55" t="n">
        <f aca="false">SUM(O49:O51)</f>
        <v>160.2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164.7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9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21.6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142.95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160.35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138.6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43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52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42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51</v>
      </c>
      <c r="D67" s="17" t="s">
        <v>34</v>
      </c>
      <c r="F67" s="61" t="s">
        <v>87</v>
      </c>
      <c r="G67" s="62" t="n">
        <f aca="false">F52</f>
        <v>9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44476.614</v>
      </c>
      <c r="D68" s="63" t="s">
        <v>10</v>
      </c>
      <c r="E68" s="65"/>
      <c r="F68" s="61" t="s">
        <v>89</v>
      </c>
      <c r="G68" s="62" t="n">
        <f aca="false">M52</f>
        <v>42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41003.48</v>
      </c>
      <c r="D69" s="63" t="s">
        <v>10</v>
      </c>
      <c r="F69" s="66" t="s">
        <v>91</v>
      </c>
      <c r="G69" s="67" t="n">
        <f aca="false">SUM(G67:G68)</f>
        <v>51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41,003 Sqm against a permissible BUA of 44,477 Sqm — only 92.2%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168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CGO_PLOT_DIMENSIONS!C28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CGO_PLOT_DIMENSIONS!B28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169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CGO_PLOT_DIMENSIONS!C28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CGO_PLOT_DIMENSIONS!B28+CGO_PLOT_DIMENSIONS!B29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C40" colorId="64" zoomScale="70" zoomScaleNormal="70" zoomScalePageLayoutView="100" workbookViewId="0">
      <selection pane="topLeft" activeCell="J67" activeCellId="0" sqref="J67"/>
    </sheetView>
  </sheetViews>
  <sheetFormatPr defaultColWidth="15.78515625" defaultRowHeight="14.25" zeroHeight="false" outlineLevelRow="0" outlineLevelCol="0"/>
  <cols>
    <col collapsed="false" customWidth="false" hidden="false" outlineLevel="0" max="1" min="1" style="1" width="15.78"/>
    <col collapsed="false" customWidth="true" hidden="false" outlineLevel="0" max="2" min="2" style="1" width="42.56"/>
    <col collapsed="false" customWidth="true" hidden="false" outlineLevel="0" max="3" min="3" style="1" width="20.66"/>
    <col collapsed="false" customWidth="false" hidden="false" outlineLevel="0" max="7" min="4" style="1" width="15.78"/>
    <col collapsed="false" customWidth="true" hidden="false" outlineLevel="0" max="8" min="8" style="1" width="23.44"/>
    <col collapsed="false" customWidth="true" hidden="false" outlineLevel="0" max="9" min="9" style="1" width="18.44"/>
    <col collapsed="false" customWidth="true" hidden="false" outlineLevel="0" max="10" min="10" style="1" width="22.76"/>
    <col collapsed="false" customWidth="true" hidden="false" outlineLevel="0" max="11" min="11" style="1" width="24.21"/>
    <col collapsed="false" customWidth="true" hidden="false" outlineLevel="0" max="12" min="12" style="1" width="16.44"/>
    <col collapsed="false" customWidth="false" hidden="false" outlineLevel="0" max="13" min="13" style="1" width="15.78"/>
    <col collapsed="false" customWidth="true" hidden="false" outlineLevel="0" max="14" min="14" style="1" width="27.56"/>
    <col collapsed="false" customWidth="false" hidden="false" outlineLevel="0" max="16384" min="15" style="1" width="15.78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4.25" hidden="false" customHeight="true" outlineLevel="0" collapsed="false">
      <c r="A2" s="3" t="s">
        <v>1</v>
      </c>
      <c r="B2" s="3"/>
      <c r="C2" s="3"/>
      <c r="D2" s="3"/>
    </row>
    <row r="4" customFormat="false" ht="14.25" hidden="false" customHeight="true" outlineLevel="0" collapsed="false">
      <c r="A4" s="4" t="s">
        <v>2</v>
      </c>
      <c r="B4" s="4"/>
      <c r="C4" s="4"/>
      <c r="D4" s="4"/>
      <c r="E4" s="5"/>
      <c r="F4" s="6"/>
      <c r="G4" s="6"/>
      <c r="H4" s="6"/>
      <c r="I4" s="6"/>
      <c r="J4" s="6"/>
    </row>
    <row r="5" customFormat="false" ht="14.2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8"/>
    </row>
    <row r="6" customFormat="false" ht="14.25" hidden="false" customHeight="true" outlineLevel="0" collapsed="false">
      <c r="A6" s="9" t="n">
        <v>1</v>
      </c>
      <c r="B6" s="9" t="s">
        <v>7</v>
      </c>
      <c r="C6" s="92" t="str">
        <f aca="false">CGO_PLOT_DIMENSIONS!B5</f>
        <v>145  1/2</v>
      </c>
    </row>
    <row r="7" customFormat="false" ht="14.25" hidden="false" customHeight="true" outlineLevel="0" collapsed="false">
      <c r="A7" s="9" t="n">
        <v>2</v>
      </c>
      <c r="B7" s="9" t="s">
        <v>9</v>
      </c>
      <c r="C7" s="21" t="n">
        <f aca="false">CGO_PLOT_DIMENSIONS!C5</f>
        <v>3167.09</v>
      </c>
      <c r="D7" s="12" t="s">
        <v>10</v>
      </c>
      <c r="E7" s="13"/>
    </row>
    <row r="8" customFormat="false" ht="14.25" hidden="false" customHeight="true" outlineLevel="0" collapsed="false">
      <c r="A8" s="9" t="n">
        <v>3</v>
      </c>
      <c r="B8" s="9" t="s">
        <v>11</v>
      </c>
      <c r="C8" s="21" t="n">
        <f aca="false">CGO_PLOT_DIMENSIONS!D5</f>
        <v>1724.47</v>
      </c>
      <c r="D8" s="12" t="s">
        <v>10</v>
      </c>
      <c r="E8" s="13"/>
    </row>
    <row r="9" customFormat="false" ht="14.25" hidden="false" customHeight="true" outlineLevel="0" collapsed="false">
      <c r="A9" s="9" t="n">
        <v>4</v>
      </c>
      <c r="B9" s="9" t="s">
        <v>12</v>
      </c>
      <c r="C9" s="21" t="n">
        <f aca="false">CGO_PLOT_DIMENSIONS!E5</f>
        <v>1314.53</v>
      </c>
      <c r="D9" s="12" t="s">
        <v>10</v>
      </c>
      <c r="E9" s="13"/>
    </row>
    <row r="10" customFormat="false" ht="14.25" hidden="false" customHeight="true" outlineLevel="0" collapsed="false">
      <c r="A10" s="9" t="n">
        <v>5</v>
      </c>
      <c r="B10" s="9" t="s">
        <v>13</v>
      </c>
      <c r="C10" s="21" t="n">
        <f aca="false">CGO_PLOT_DIMENSIONS!F5</f>
        <v>940.1</v>
      </c>
      <c r="D10" s="12" t="s">
        <v>10</v>
      </c>
      <c r="E10" s="13"/>
    </row>
    <row r="11" customFormat="false" ht="14.25" hidden="false" customHeight="true" outlineLevel="0" collapsed="false">
      <c r="A11" s="9" t="n">
        <v>6</v>
      </c>
      <c r="B11" s="9" t="s">
        <v>14</v>
      </c>
      <c r="C11" s="91" t="n">
        <v>10.8</v>
      </c>
      <c r="D11" s="12" t="s">
        <v>15</v>
      </c>
      <c r="E11" s="13"/>
    </row>
    <row r="12" customFormat="false" ht="14.25" hidden="false" customHeight="true" outlineLevel="0" collapsed="false">
      <c r="A12" s="9" t="n">
        <v>7</v>
      </c>
      <c r="B12" s="18" t="s">
        <v>16</v>
      </c>
      <c r="C12" s="19" t="n">
        <v>0.3</v>
      </c>
      <c r="D12" s="12" t="s">
        <v>17</v>
      </c>
      <c r="E12" s="13"/>
    </row>
    <row r="13" customFormat="false" ht="14.25" hidden="false" customHeight="true" outlineLevel="0" collapsed="false">
      <c r="A13" s="9" t="n">
        <v>8</v>
      </c>
      <c r="B13" s="9" t="s">
        <v>18</v>
      </c>
      <c r="C13" s="20" t="s">
        <v>19</v>
      </c>
      <c r="D13" s="12" t="s">
        <v>20</v>
      </c>
    </row>
    <row r="14" customFormat="false" ht="14.25" hidden="false" customHeight="true" outlineLevel="0" collapsed="false">
      <c r="A14" s="9" t="n">
        <v>7</v>
      </c>
      <c r="B14" s="9" t="s">
        <v>21</v>
      </c>
      <c r="C14" s="20" t="s">
        <v>22</v>
      </c>
      <c r="D14" s="12" t="s">
        <v>20</v>
      </c>
    </row>
    <row r="15" customFormat="false" ht="14.25" hidden="false" customHeight="true" outlineLevel="0" collapsed="false">
      <c r="A15" s="9" t="n">
        <v>10</v>
      </c>
      <c r="B15" s="9" t="s">
        <v>23</v>
      </c>
      <c r="C15" s="21" t="n">
        <v>164.7</v>
      </c>
      <c r="D15" s="12" t="s">
        <v>20</v>
      </c>
      <c r="E15" s="13"/>
    </row>
    <row r="16" customFormat="false" ht="14.25" hidden="false" customHeight="true" outlineLevel="0" collapsed="false">
      <c r="A16" s="9" t="n">
        <v>11</v>
      </c>
      <c r="B16" s="9" t="s">
        <v>24</v>
      </c>
      <c r="C16" s="21" t="n">
        <v>0.15</v>
      </c>
      <c r="D16" s="12" t="s">
        <v>20</v>
      </c>
      <c r="E16" s="13"/>
    </row>
    <row r="17" customFormat="false" ht="14.25" hidden="false" customHeight="true" outlineLevel="0" collapsed="false">
      <c r="A17" s="9" t="n">
        <v>12</v>
      </c>
      <c r="B17" s="9" t="s">
        <v>25</v>
      </c>
      <c r="C17" s="21" t="n">
        <v>3.3</v>
      </c>
      <c r="D17" s="12" t="s">
        <v>20</v>
      </c>
      <c r="E17" s="13"/>
    </row>
    <row r="18" customFormat="false" ht="14.25" hidden="false" customHeight="true" outlineLevel="0" collapsed="false">
      <c r="A18" s="9" t="n">
        <v>13</v>
      </c>
      <c r="B18" s="9" t="s">
        <v>26</v>
      </c>
      <c r="C18" s="21" t="n">
        <v>2.4</v>
      </c>
      <c r="D18" s="12" t="s">
        <v>20</v>
      </c>
      <c r="E18" s="13"/>
    </row>
    <row r="20" customFormat="false" ht="14.25" hidden="false" customHeight="true" outlineLevel="0" collapsed="false">
      <c r="A20" s="4" t="s">
        <v>27</v>
      </c>
      <c r="B20" s="4"/>
      <c r="C20" s="4"/>
      <c r="D20" s="4"/>
      <c r="E20" s="5"/>
      <c r="F20" s="6"/>
      <c r="G20" s="6"/>
      <c r="H20" s="6"/>
      <c r="I20" s="6"/>
      <c r="J20" s="6"/>
    </row>
    <row r="21" customFormat="false" ht="14.25" hidden="false" customHeight="true" outlineLevel="0" collapsed="false">
      <c r="A21" s="7" t="s">
        <v>3</v>
      </c>
      <c r="B21" s="7" t="s">
        <v>4</v>
      </c>
      <c r="C21" s="7" t="s">
        <v>5</v>
      </c>
      <c r="D21" s="7" t="s">
        <v>6</v>
      </c>
      <c r="E21" s="8"/>
    </row>
    <row r="22" customFormat="false" ht="14.25" hidden="false" customHeight="true" outlineLevel="0" collapsed="false">
      <c r="A22" s="9" t="n">
        <v>1</v>
      </c>
      <c r="B22" s="9" t="s">
        <v>28</v>
      </c>
      <c r="C22" s="22" t="n">
        <f aca="false">C7*C11</f>
        <v>34204.572</v>
      </c>
      <c r="D22" s="12" t="s">
        <v>10</v>
      </c>
      <c r="E22" s="13"/>
    </row>
    <row r="23" customFormat="false" ht="14.25" hidden="false" customHeight="true" outlineLevel="0" collapsed="false">
      <c r="A23" s="9" t="n">
        <v>2</v>
      </c>
      <c r="B23" s="18" t="s">
        <v>16</v>
      </c>
      <c r="C23" s="23" t="n">
        <f aca="false">C22*C12</f>
        <v>10261.3716</v>
      </c>
      <c r="D23" s="12" t="s">
        <v>10</v>
      </c>
      <c r="E23" s="13"/>
    </row>
    <row r="24" customFormat="false" ht="14.25" hidden="false" customHeight="true" outlineLevel="0" collapsed="false">
      <c r="A24" s="9" t="n">
        <v>3</v>
      </c>
      <c r="B24" s="9" t="s">
        <v>29</v>
      </c>
      <c r="C24" s="22" t="n">
        <f aca="false">C22+C23</f>
        <v>44465.9436</v>
      </c>
      <c r="D24" s="12" t="s">
        <v>10</v>
      </c>
      <c r="E24" s="13"/>
    </row>
    <row r="26" customFormat="false" ht="14.25" hidden="false" customHeight="true" outlineLevel="0" collapsed="false">
      <c r="A26" s="4" t="s">
        <v>30</v>
      </c>
      <c r="B26" s="4"/>
      <c r="C26" s="4"/>
      <c r="D26" s="4"/>
      <c r="E26" s="5"/>
      <c r="F26" s="6"/>
      <c r="G26" s="6"/>
      <c r="H26" s="6"/>
      <c r="I26" s="6"/>
      <c r="J26" s="6"/>
    </row>
    <row r="27" customFormat="false" ht="14.25" hidden="false" customHeight="true" outlineLevel="0" collapsed="false">
      <c r="A27" s="7" t="s">
        <v>3</v>
      </c>
      <c r="B27" s="7" t="s">
        <v>4</v>
      </c>
      <c r="C27" s="7" t="s">
        <v>5</v>
      </c>
      <c r="D27" s="7" t="s">
        <v>6</v>
      </c>
      <c r="E27" s="8"/>
    </row>
    <row r="28" customFormat="false" ht="14.25" hidden="false" customHeight="true" outlineLevel="0" collapsed="false">
      <c r="A28" s="9" t="n">
        <v>1</v>
      </c>
      <c r="B28" s="9" t="s">
        <v>31</v>
      </c>
      <c r="C28" s="21" t="n">
        <v>1.5</v>
      </c>
      <c r="D28" s="12" t="s">
        <v>20</v>
      </c>
      <c r="E28" s="13"/>
    </row>
    <row r="29" customFormat="false" ht="27" hidden="false" customHeight="true" outlineLevel="0" collapsed="false">
      <c r="A29" s="9" t="n">
        <v>2</v>
      </c>
      <c r="B29" s="9" t="s">
        <v>32</v>
      </c>
      <c r="C29" s="21" t="n">
        <f aca="false">CGO_PLOT_DIMENSIONS!H5</f>
        <v>2825.34</v>
      </c>
      <c r="D29" s="12" t="s">
        <v>10</v>
      </c>
      <c r="E29" s="13"/>
    </row>
    <row r="30" customFormat="false" ht="14.25" hidden="false" customHeight="true" outlineLevel="0" collapsed="false">
      <c r="A30" s="9" t="n">
        <v>3</v>
      </c>
      <c r="B30" s="9" t="s">
        <v>33</v>
      </c>
      <c r="C30" s="21" t="n">
        <v>3</v>
      </c>
      <c r="D30" s="12" t="s">
        <v>34</v>
      </c>
      <c r="E30" s="13"/>
    </row>
    <row r="31" customFormat="false" ht="14.25" hidden="false" customHeight="true" outlineLevel="0" collapsed="false">
      <c r="A31" s="9" t="n">
        <v>4</v>
      </c>
      <c r="B31" s="9" t="s">
        <v>35</v>
      </c>
      <c r="C31" s="21" t="n">
        <v>3.3</v>
      </c>
      <c r="D31" s="12" t="s">
        <v>20</v>
      </c>
      <c r="E31" s="13"/>
    </row>
    <row r="32" customFormat="false" ht="14.25" hidden="false" customHeight="true" outlineLevel="0" collapsed="false">
      <c r="A32" s="9" t="n">
        <v>5</v>
      </c>
      <c r="B32" s="9" t="s">
        <v>36</v>
      </c>
      <c r="C32" s="22" t="n">
        <f aca="false">C30*C29</f>
        <v>8476.02</v>
      </c>
      <c r="D32" s="12" t="s">
        <v>10</v>
      </c>
      <c r="E32" s="13"/>
    </row>
    <row r="34" customFormat="false" ht="14.25" hidden="false" customHeight="true" outlineLevel="0" collapsed="false">
      <c r="A34" s="24" t="s">
        <v>37</v>
      </c>
      <c r="B34" s="24"/>
      <c r="C34" s="24"/>
      <c r="D34" s="24"/>
      <c r="E34" s="25"/>
    </row>
    <row r="35" customFormat="false" ht="14.25" hidden="false" customHeight="true" outlineLevel="0" collapsed="false">
      <c r="A35" s="26" t="s">
        <v>3</v>
      </c>
      <c r="B35" s="26" t="s">
        <v>4</v>
      </c>
      <c r="C35" s="26" t="s">
        <v>38</v>
      </c>
      <c r="D35" s="26" t="s">
        <v>6</v>
      </c>
      <c r="E35" s="27"/>
    </row>
    <row r="36" customFormat="false" ht="14.25" hidden="false" customHeight="true" outlineLevel="0" collapsed="false">
      <c r="A36" s="17" t="n">
        <v>1</v>
      </c>
      <c r="B36" s="18" t="s">
        <v>39</v>
      </c>
      <c r="C36" s="28" t="n">
        <f aca="false">IF(C24&lt;=1500, C24/37.5, 1500/37.5)</f>
        <v>40</v>
      </c>
      <c r="D36" s="17" t="s">
        <v>34</v>
      </c>
    </row>
    <row r="37" customFormat="false" ht="14.25" hidden="false" customHeight="true" outlineLevel="0" collapsed="false">
      <c r="A37" s="17" t="n">
        <v>2</v>
      </c>
      <c r="B37" s="29" t="s">
        <v>40</v>
      </c>
      <c r="C37" s="30" t="n">
        <f aca="false">C24-1500</f>
        <v>42965.9436</v>
      </c>
      <c r="D37" s="29" t="s">
        <v>10</v>
      </c>
    </row>
    <row r="38" customFormat="false" ht="14.25" hidden="false" customHeight="true" outlineLevel="0" collapsed="false">
      <c r="A38" s="17" t="n">
        <v>3</v>
      </c>
      <c r="B38" s="18" t="s">
        <v>41</v>
      </c>
      <c r="C38" s="31" t="n">
        <f aca="false">IF(C24&gt;1500, (C24-1500)/75, 0)</f>
        <v>572.879248</v>
      </c>
      <c r="D38" s="17" t="s">
        <v>34</v>
      </c>
    </row>
    <row r="39" customFormat="false" ht="14.25" hidden="false" customHeight="true" outlineLevel="0" collapsed="false">
      <c r="A39" s="17" t="n">
        <v>4</v>
      </c>
      <c r="B39" s="18" t="s">
        <v>42</v>
      </c>
      <c r="C39" s="31" t="n">
        <f aca="false">C36+C38</f>
        <v>612.879248</v>
      </c>
      <c r="D39" s="17" t="s">
        <v>34</v>
      </c>
    </row>
    <row r="40" customFormat="false" ht="14.25" hidden="false" customHeight="true" outlineLevel="0" collapsed="false">
      <c r="A40" s="17" t="n">
        <v>5</v>
      </c>
      <c r="B40" s="18" t="s">
        <v>43</v>
      </c>
      <c r="C40" s="31" t="n">
        <f aca="false">C39*0.1</f>
        <v>61.2879248</v>
      </c>
      <c r="D40" s="17" t="s">
        <v>34</v>
      </c>
    </row>
    <row r="41" customFormat="false" ht="14.25" hidden="false" customHeight="true" outlineLevel="0" collapsed="false">
      <c r="A41" s="17" t="n">
        <v>6</v>
      </c>
      <c r="B41" s="18" t="s">
        <v>44</v>
      </c>
      <c r="C41" s="31" t="n">
        <f aca="false">C39+C40</f>
        <v>674.1671728</v>
      </c>
      <c r="D41" s="17" t="s">
        <v>34</v>
      </c>
    </row>
    <row r="42" customFormat="false" ht="14.25" hidden="false" customHeight="true" outlineLevel="0" collapsed="false">
      <c r="A42" s="17" t="n">
        <v>7</v>
      </c>
      <c r="B42" s="18" t="s">
        <v>45</v>
      </c>
      <c r="C42" s="28" t="n">
        <f aca="false">C41*35</f>
        <v>23595.851048</v>
      </c>
      <c r="D42" s="17" t="s">
        <v>10</v>
      </c>
    </row>
    <row r="43" customFormat="false" ht="14.25" hidden="false" customHeight="true" outlineLevel="0" collapsed="false">
      <c r="A43" s="17" t="n">
        <v>8</v>
      </c>
      <c r="B43" s="18" t="s">
        <v>46</v>
      </c>
      <c r="C43" s="28" t="n">
        <f aca="false">C32</f>
        <v>8476.02</v>
      </c>
      <c r="D43" s="17" t="s">
        <v>10</v>
      </c>
    </row>
    <row r="44" customFormat="false" ht="14.25" hidden="false" customHeight="true" outlineLevel="0" collapsed="false">
      <c r="A44" s="17" t="n">
        <v>9</v>
      </c>
      <c r="B44" s="17" t="s">
        <v>47</v>
      </c>
      <c r="C44" s="32" t="n">
        <f aca="false">C42-C43</f>
        <v>15119.831048</v>
      </c>
      <c r="D44" s="1" t="s">
        <v>10</v>
      </c>
    </row>
    <row r="45" customFormat="false" ht="14.25" hidden="false" customHeight="true" outlineLevel="0" collapsed="false">
      <c r="A45" s="17" t="n">
        <v>10</v>
      </c>
      <c r="B45" s="17" t="s">
        <v>48</v>
      </c>
      <c r="C45" s="33" t="n">
        <f aca="false">ROUNDUP( C44 / C8, 0)</f>
        <v>9</v>
      </c>
      <c r="D45" s="1" t="s">
        <v>34</v>
      </c>
    </row>
    <row r="46" customFormat="false" ht="14.25" hidden="false" customHeight="true" outlineLevel="0" collapsed="false">
      <c r="A46" s="34"/>
    </row>
    <row r="47" customFormat="false" ht="14.25" hidden="false" customHeight="true" outlineLevel="0" collapsed="false">
      <c r="A47" s="4" t="s">
        <v>49</v>
      </c>
      <c r="B47" s="4"/>
      <c r="C47" s="4"/>
      <c r="D47" s="4"/>
      <c r="E47" s="4"/>
      <c r="F47" s="4"/>
      <c r="G47" s="4"/>
      <c r="H47" s="4"/>
      <c r="I47" s="4"/>
      <c r="J47" s="4"/>
      <c r="K47" s="35"/>
    </row>
    <row r="48" customFormat="false" ht="54.75" hidden="false" customHeight="true" outlineLevel="0" collapsed="false">
      <c r="A48" s="7" t="s">
        <v>50</v>
      </c>
      <c r="B48" s="7" t="s">
        <v>51</v>
      </c>
      <c r="C48" s="7" t="s">
        <v>52</v>
      </c>
      <c r="D48" s="7" t="s">
        <v>53</v>
      </c>
      <c r="E48" s="7" t="s">
        <v>54</v>
      </c>
      <c r="F48" s="7" t="s">
        <v>55</v>
      </c>
      <c r="G48" s="7" t="s">
        <v>56</v>
      </c>
      <c r="H48" s="7" t="s">
        <v>57</v>
      </c>
      <c r="I48" s="36" t="s">
        <v>58</v>
      </c>
      <c r="J48" s="37" t="s">
        <v>59</v>
      </c>
      <c r="K48" s="37" t="s">
        <v>60</v>
      </c>
      <c r="L48" s="7" t="s">
        <v>61</v>
      </c>
      <c r="M48" s="7" t="s">
        <v>62</v>
      </c>
      <c r="N48" s="37" t="s">
        <v>63</v>
      </c>
      <c r="O48" s="7" t="s">
        <v>64</v>
      </c>
    </row>
    <row r="49" customFormat="false" ht="14.25" hidden="false" customHeight="true" outlineLevel="0" collapsed="false">
      <c r="A49" s="9" t="s">
        <v>66</v>
      </c>
      <c r="B49" s="9" t="s">
        <v>67</v>
      </c>
      <c r="C49" s="21" t="n">
        <f aca="false">C8</f>
        <v>1724.47</v>
      </c>
      <c r="D49" s="39" t="n">
        <v>24</v>
      </c>
      <c r="E49" s="40" t="n">
        <f aca="false">24/3.3</f>
        <v>7.27272727272727</v>
      </c>
      <c r="F49" s="41" t="n">
        <f aca="false">MIN(C45, INT(D49/C18))</f>
        <v>9</v>
      </c>
      <c r="G49" s="41" t="n">
        <f aca="false">C49*F49</f>
        <v>15520.23</v>
      </c>
      <c r="H49" s="23" t="n">
        <f aca="false">F49*C18</f>
        <v>21.6</v>
      </c>
      <c r="I49" s="42" t="n">
        <f aca="false">D49-H49</f>
        <v>2.4</v>
      </c>
      <c r="J49" s="43" t="n">
        <f aca="false">INT(I49/C17)</f>
        <v>0</v>
      </c>
      <c r="K49" s="44" t="n">
        <f aca="false">J49*C49</f>
        <v>0</v>
      </c>
      <c r="L49" s="23" t="n">
        <f aca="false">MIN(C24, K49)</f>
        <v>0</v>
      </c>
      <c r="M49" s="23" t="n">
        <f aca="false">ROUNDUP((L49/C49),0)</f>
        <v>0</v>
      </c>
      <c r="N49" s="1" t="n">
        <f aca="false">C17*M49</f>
        <v>0</v>
      </c>
      <c r="O49" s="45" t="n">
        <f aca="false">H49+N49</f>
        <v>21.6</v>
      </c>
    </row>
    <row r="50" customFormat="false" ht="14.25" hidden="false" customHeight="true" outlineLevel="0" collapsed="false">
      <c r="A50" s="9" t="s">
        <v>68</v>
      </c>
      <c r="B50" s="9" t="s">
        <v>69</v>
      </c>
      <c r="C50" s="21" t="n">
        <f aca="false">C9</f>
        <v>1314.53</v>
      </c>
      <c r="D50" s="39" t="n">
        <v>13.5</v>
      </c>
      <c r="E50" s="40" t="n">
        <f aca="false">D50/3.3</f>
        <v>4.09090909090909</v>
      </c>
      <c r="F50" s="41" t="n">
        <f aca="false">MIN(MAX(C45-F49,0), INT(D50/C18))</f>
        <v>0</v>
      </c>
      <c r="G50" s="41" t="n">
        <f aca="false">C50*F50</f>
        <v>0</v>
      </c>
      <c r="H50" s="23" t="n">
        <f aca="false">F50*C18</f>
        <v>0</v>
      </c>
      <c r="I50" s="42" t="n">
        <f aca="false">D50-H50</f>
        <v>13.5</v>
      </c>
      <c r="J50" s="43" t="n">
        <f aca="false">INT(I50/C17)</f>
        <v>4</v>
      </c>
      <c r="K50" s="44" t="n">
        <f aca="false">J50*C50</f>
        <v>5258.12</v>
      </c>
      <c r="L50" s="23" t="n">
        <f aca="false">MAX(0, MIN(K50, C24 - L49))</f>
        <v>5258.12</v>
      </c>
      <c r="M50" s="23" t="n">
        <f aca="false">ROUNDUP((L50/C50),0)</f>
        <v>4</v>
      </c>
      <c r="N50" s="1" t="n">
        <f aca="false">C17*M50</f>
        <v>13.2</v>
      </c>
      <c r="O50" s="45" t="n">
        <f aca="false">H50+N50</f>
        <v>13.2</v>
      </c>
    </row>
    <row r="51" customFormat="false" ht="14.25" hidden="false" customHeight="true" outlineLevel="0" collapsed="false">
      <c r="A51" s="9" t="s">
        <v>70</v>
      </c>
      <c r="B51" s="9" t="s">
        <v>71</v>
      </c>
      <c r="C51" s="21" t="n">
        <f aca="false">C10</f>
        <v>940.1</v>
      </c>
      <c r="D51" s="47" t="n">
        <f aca="false">$C$15 - 37.5</f>
        <v>127.2</v>
      </c>
      <c r="E51" s="12" t="n">
        <f aca="false">INT(D51/C17)</f>
        <v>38</v>
      </c>
      <c r="F51" s="41" t="n">
        <f aca="false">MAX(C45-F49-F50,0)</f>
        <v>0</v>
      </c>
      <c r="G51" s="41" t="n">
        <f aca="false">C51*F51</f>
        <v>0</v>
      </c>
      <c r="H51" s="23" t="n">
        <f aca="false">F51*C18</f>
        <v>0</v>
      </c>
      <c r="I51" s="42" t="n">
        <f aca="false">D51-H51</f>
        <v>127.2</v>
      </c>
      <c r="J51" s="43" t="n">
        <f aca="false">INT(I51/C17)</f>
        <v>38</v>
      </c>
      <c r="K51" s="44" t="n">
        <f aca="false">J51*C51</f>
        <v>35723.8</v>
      </c>
      <c r="L51" s="23" t="n">
        <f aca="false">MAX(0, MIN(K51, C24 - L49 - L50))</f>
        <v>35723.8</v>
      </c>
      <c r="M51" s="23" t="n">
        <f aca="false">ROUNDUP((L51/C51),0)</f>
        <v>38</v>
      </c>
      <c r="N51" s="1" t="n">
        <f aca="false">C17*M51</f>
        <v>125.4</v>
      </c>
      <c r="O51" s="45" t="n">
        <f aca="false">H51+N51</f>
        <v>125.4</v>
      </c>
    </row>
    <row r="52" customFormat="false" ht="14.25" hidden="false" customHeight="true" outlineLevel="0" collapsed="false">
      <c r="A52" s="48" t="s">
        <v>72</v>
      </c>
      <c r="B52" s="49"/>
      <c r="C52" s="49"/>
      <c r="D52" s="49"/>
      <c r="E52" s="49"/>
      <c r="F52" s="50" t="n">
        <f aca="false">F49+F50+F51</f>
        <v>9</v>
      </c>
      <c r="G52" s="50" t="n">
        <f aca="false">SUM(G49:G51)</f>
        <v>15520.23</v>
      </c>
      <c r="H52" s="22" t="n">
        <f aca="false">SUM(H49:H51)</f>
        <v>21.6</v>
      </c>
      <c r="I52" s="51" t="s">
        <v>73</v>
      </c>
      <c r="J52" s="52" t="n">
        <f aca="false">SUM(J49:J51)</f>
        <v>42</v>
      </c>
      <c r="K52" s="52" t="n">
        <f aca="false">SUM(K49:K51)</f>
        <v>40981.92</v>
      </c>
      <c r="L52" s="22" t="n">
        <f aca="false">L49+L50+L51</f>
        <v>40981.92</v>
      </c>
      <c r="M52" s="53" t="n">
        <f aca="false">SUM(M49:M51)</f>
        <v>42</v>
      </c>
      <c r="N52" s="54" t="n">
        <f aca="false">SUM(N49:N51)</f>
        <v>138.6</v>
      </c>
      <c r="O52" s="55" t="n">
        <f aca="false">SUM(O49:O51)</f>
        <v>160.2</v>
      </c>
    </row>
    <row r="54" customFormat="false" ht="14.25" hidden="false" customHeight="true" outlineLevel="0" collapsed="false">
      <c r="A54" s="24" t="s">
        <v>74</v>
      </c>
      <c r="B54" s="24"/>
      <c r="C54" s="24"/>
      <c r="D54" s="24"/>
      <c r="E54" s="25"/>
    </row>
    <row r="55" customFormat="false" ht="14.25" hidden="false" customHeight="true" outlineLevel="0" collapsed="false">
      <c r="A55" s="26" t="s">
        <v>3</v>
      </c>
      <c r="B55" s="26" t="s">
        <v>4</v>
      </c>
      <c r="C55" s="26" t="s">
        <v>38</v>
      </c>
      <c r="D55" s="26" t="s">
        <v>6</v>
      </c>
      <c r="E55" s="27"/>
    </row>
    <row r="56" customFormat="false" ht="14.25" hidden="false" customHeight="true" outlineLevel="0" collapsed="false">
      <c r="A56" s="17" t="n">
        <v>1</v>
      </c>
      <c r="B56" s="17" t="s">
        <v>75</v>
      </c>
      <c r="C56" s="28" t="n">
        <f aca="false">C15</f>
        <v>164.7</v>
      </c>
      <c r="D56" s="17" t="s">
        <v>20</v>
      </c>
    </row>
    <row r="57" customFormat="false" ht="14.25" hidden="false" customHeight="true" outlineLevel="0" collapsed="false">
      <c r="A57" s="17" t="n">
        <v>2</v>
      </c>
      <c r="B57" s="17" t="s">
        <v>24</v>
      </c>
      <c r="C57" s="57" t="n">
        <v>0.15</v>
      </c>
      <c r="D57" s="17" t="s">
        <v>20</v>
      </c>
    </row>
    <row r="58" customFormat="false" ht="14.25" hidden="false" customHeight="true" outlineLevel="0" collapsed="false">
      <c r="A58" s="17" t="n">
        <v>3</v>
      </c>
      <c r="B58" s="17" t="s">
        <v>76</v>
      </c>
      <c r="C58" s="58" t="n">
        <f aca="false">C45</f>
        <v>9</v>
      </c>
      <c r="D58" s="17" t="s">
        <v>34</v>
      </c>
    </row>
    <row r="59" customFormat="false" ht="14.25" hidden="false" customHeight="true" outlineLevel="0" collapsed="false">
      <c r="A59" s="17" t="n">
        <v>4</v>
      </c>
      <c r="B59" s="17" t="s">
        <v>77</v>
      </c>
      <c r="C59" s="28" t="n">
        <f aca="false">C58*2.4</f>
        <v>21.6</v>
      </c>
      <c r="D59" s="17" t="s">
        <v>20</v>
      </c>
    </row>
    <row r="60" customFormat="false" ht="14.25" hidden="false" customHeight="true" outlineLevel="0" collapsed="false">
      <c r="A60" s="17" t="n">
        <v>5</v>
      </c>
      <c r="B60" s="17" t="s">
        <v>78</v>
      </c>
      <c r="C60" s="28" t="n">
        <f aca="false">C56-(C59+C57)</f>
        <v>142.95</v>
      </c>
      <c r="D60" s="17" t="s">
        <v>20</v>
      </c>
    </row>
    <row r="61" customFormat="false" ht="14.25" hidden="false" customHeight="true" outlineLevel="0" collapsed="false">
      <c r="A61" s="17" t="n">
        <v>6</v>
      </c>
      <c r="B61" s="17" t="s">
        <v>79</v>
      </c>
      <c r="C61" s="28" t="n">
        <f aca="false">(SUM(M49,M50,M51) * 3.3) + (SUM(F49,F50,F51) * 2.4) + C57</f>
        <v>160.35</v>
      </c>
      <c r="D61" s="17" t="s">
        <v>20</v>
      </c>
    </row>
    <row r="62" customFormat="false" ht="14.25" hidden="false" customHeight="true" outlineLevel="0" collapsed="false">
      <c r="A62" s="17" t="n">
        <v>7</v>
      </c>
      <c r="B62" s="17" t="s">
        <v>80</v>
      </c>
      <c r="C62" s="28" t="n">
        <f aca="false">N52</f>
        <v>138.6</v>
      </c>
      <c r="D62" s="17" t="s">
        <v>20</v>
      </c>
    </row>
    <row r="63" customFormat="false" ht="14.25" hidden="false" customHeight="true" outlineLevel="0" collapsed="false">
      <c r="A63" s="17" t="n">
        <v>8</v>
      </c>
      <c r="B63" s="17" t="s">
        <v>81</v>
      </c>
      <c r="C63" s="59" t="n">
        <v>3.3</v>
      </c>
      <c r="D63" s="17" t="s">
        <v>20</v>
      </c>
    </row>
    <row r="64" customFormat="false" ht="14.25" hidden="false" customHeight="true" outlineLevel="0" collapsed="false">
      <c r="A64" s="17" t="n">
        <v>9</v>
      </c>
      <c r="B64" s="17" t="s">
        <v>82</v>
      </c>
      <c r="C64" s="28" t="n">
        <f aca="false">INT(C60/C63)</f>
        <v>43</v>
      </c>
      <c r="D64" s="17" t="s">
        <v>34</v>
      </c>
    </row>
    <row r="65" customFormat="false" ht="14.25" hidden="false" customHeight="true" outlineLevel="0" collapsed="false">
      <c r="A65" s="17" t="n">
        <v>10</v>
      </c>
      <c r="B65" s="17" t="s">
        <v>83</v>
      </c>
      <c r="C65" s="28" t="n">
        <f aca="false">C64+C58</f>
        <v>52</v>
      </c>
      <c r="D65" s="17" t="s">
        <v>34</v>
      </c>
    </row>
    <row r="66" customFormat="false" ht="14.25" hidden="false" customHeight="true" outlineLevel="0" collapsed="false">
      <c r="A66" s="17" t="n">
        <v>11</v>
      </c>
      <c r="B66" s="17" t="s">
        <v>84</v>
      </c>
      <c r="C66" s="28" t="n">
        <f aca="false">M52</f>
        <v>42</v>
      </c>
      <c r="D66" s="17" t="s">
        <v>34</v>
      </c>
      <c r="F66" s="60" t="s">
        <v>96</v>
      </c>
      <c r="G66" s="60"/>
    </row>
    <row r="67" customFormat="false" ht="14.25" hidden="false" customHeight="true" outlineLevel="0" collapsed="false">
      <c r="A67" s="17" t="n">
        <v>12</v>
      </c>
      <c r="B67" s="17" t="s">
        <v>86</v>
      </c>
      <c r="C67" s="28" t="n">
        <f aca="false">F52+M52</f>
        <v>51</v>
      </c>
      <c r="D67" s="17" t="s">
        <v>34</v>
      </c>
      <c r="F67" s="61" t="s">
        <v>87</v>
      </c>
      <c r="G67" s="62" t="n">
        <f aca="false">F52</f>
        <v>9</v>
      </c>
    </row>
    <row r="68" customFormat="false" ht="14.25" hidden="false" customHeight="true" outlineLevel="0" collapsed="false">
      <c r="A68" s="17" t="n">
        <v>13</v>
      </c>
      <c r="B68" s="63" t="s">
        <v>88</v>
      </c>
      <c r="C68" s="64" t="n">
        <f aca="false">C24</f>
        <v>44465.9436</v>
      </c>
      <c r="D68" s="63" t="s">
        <v>10</v>
      </c>
      <c r="E68" s="65"/>
      <c r="F68" s="61" t="s">
        <v>89</v>
      </c>
      <c r="G68" s="62" t="n">
        <f aca="false">M52</f>
        <v>42</v>
      </c>
    </row>
    <row r="69" customFormat="false" ht="14.25" hidden="false" customHeight="true" outlineLevel="0" collapsed="false">
      <c r="A69" s="1" t="n">
        <v>14</v>
      </c>
      <c r="B69" s="1" t="s">
        <v>90</v>
      </c>
      <c r="C69" s="45" t="n">
        <f aca="false">L52</f>
        <v>40981.92</v>
      </c>
      <c r="D69" s="63" t="s">
        <v>10</v>
      </c>
      <c r="F69" s="66" t="s">
        <v>91</v>
      </c>
      <c r="G69" s="67" t="n">
        <f aca="false">SUM(G67:G68)</f>
        <v>51</v>
      </c>
    </row>
    <row r="70" customFormat="false" ht="18" hidden="false" customHeight="true" outlineLevel="0" collapsed="false">
      <c r="A70" s="73" t="s">
        <v>97</v>
      </c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</row>
    <row r="71" customFormat="false" ht="14.25" hidden="false" customHeight="true" outlineLevel="0" collapsed="false">
      <c r="A71" s="74" t="s">
        <v>98</v>
      </c>
      <c r="B71" s="74"/>
      <c r="C71" s="74" t="s">
        <v>99</v>
      </c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</row>
    <row r="72" customFormat="false" ht="42" hidden="false" customHeight="true" outlineLevel="0" collapsed="false">
      <c r="A72" s="75" t="s">
        <v>100</v>
      </c>
      <c r="B72" s="75"/>
      <c r="C72" s="76" t="str">
        <f aca="false">"At the plot's full permissible height, Reading A (Sections A–F) achieves "&amp;TEXT(L52,"#,##0")&amp;" Sqm against a permissible BUA of "&amp;TEXT(C24,"#,##0")&amp;" Sqm — only "&amp;TEXT(L52/C24,"0.0%")&amp;" of what is allowed. BUA can legally be built up to the permissible ceiling but never below it, so an outcome under 100% is non-compliant and this reading cannot be adopted as-is."</f>
        <v>At the plot's full permissible height, Reading A (Sections A–F) achieves 40,982 Sqm against a permissible BUA of 44,466 Sqm — only 92.2% of what is allowed. BUA can legally be built up to the permissible ceiling but never below it, so an outcome under 100% is non-compliant and this reading cannot be adopted as-is.</v>
      </c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  <row r="73" s="69" customFormat="true" ht="55.5" hidden="false" customHeight="true" outlineLevel="0" collapsed="false">
      <c r="A73" s="77" t="s">
        <v>101</v>
      </c>
      <c r="B73" s="77"/>
      <c r="C73" s="78" t="s">
        <v>102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</row>
    <row r="74" customFormat="false" ht="55.5" hidden="false" customHeight="true" outlineLevel="0" collapsed="false">
      <c r="A74" s="75" t="s">
        <v>103</v>
      </c>
      <c r="B74" s="75"/>
      <c r="C74" s="76" t="s">
        <v>104</v>
      </c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</row>
    <row r="75" customFormat="false" ht="55.5" hidden="false" customHeight="true" outlineLevel="0" collapsed="false">
      <c r="A75" s="75" t="s">
        <v>105</v>
      </c>
      <c r="B75" s="75"/>
      <c r="C75" s="76" t="s">
        <v>106</v>
      </c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</row>
    <row r="76" customFormat="false" ht="42" hidden="false" customHeight="true" outlineLevel="0" collapsed="false">
      <c r="A76" s="75" t="s">
        <v>107</v>
      </c>
      <c r="B76" s="75"/>
      <c r="C76" s="76" t="s">
        <v>108</v>
      </c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</row>
    <row r="77" customFormat="false" ht="42" hidden="false" customHeight="true" outlineLevel="0" collapsed="false">
      <c r="A77" s="75" t="s">
        <v>109</v>
      </c>
      <c r="B77" s="75"/>
      <c r="C77" s="76" t="s">
        <v>110</v>
      </c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</row>
    <row r="78" customFormat="false" ht="42" hidden="false" customHeight="true" outlineLevel="0" collapsed="false">
      <c r="A78" s="75" t="s">
        <v>111</v>
      </c>
      <c r="B78" s="75"/>
      <c r="C78" s="76" t="s">
        <v>112</v>
      </c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</row>
    <row r="79" customFormat="false" ht="27.75" hidden="false" customHeight="true" outlineLevel="0" collapsed="false">
      <c r="A79" s="75" t="s">
        <v>113</v>
      </c>
      <c r="B79" s="75"/>
      <c r="C79" s="79" t="str">
        <f aca="false">"Section G (single subplot): FSI = "&amp;TEXT(B108,"0.00")&amp;", "&amp;B97&amp;" total floors, achieving "&amp;TEXT(P120,"#,##0")&amp;" Sqm of countable BUA."</f>
        <v>Section G (single subplot): FSI = 2.53, 11 total floors, achieving 4,174 Sqm of countable BUA.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</row>
    <row r="80" customFormat="false" ht="27.75" hidden="false" customHeight="true" outlineLevel="0" collapsed="false">
      <c r="A80" s="75"/>
      <c r="B80" s="75"/>
      <c r="C80" s="79" t="str">
        <f aca="false">"Section H (combined plot): FSI = "&amp;TEXT(B146,"0.00")&amp;", "&amp;B135&amp;" total floors, achieving "&amp;TEXT(P158,"#,##0")&amp;" Sqm of countable BUA."</f>
        <v>Section H (combined plot): FSI = 3.50, 11 total floors, achieving 11,524 Sqm of countable BUA.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</row>
    <row r="81" customFormat="false" ht="14.25" hidden="false" customHeight="true" outlineLevel="0" collapsed="false"/>
    <row r="82" customFormat="false" ht="14.25" hidden="false" customHeight="true" outlineLevel="0" collapsed="false"/>
    <row r="85" customFormat="false" ht="16.5" hidden="false" customHeight="true" outlineLevel="0" collapsed="false">
      <c r="A85" s="80" t="s">
        <v>170</v>
      </c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</row>
    <row r="86" customFormat="false" ht="14.25" hidden="false" customHeight="true" outlineLevel="0" collapsed="false"/>
    <row r="87" customFormat="false" ht="14.25" hidden="false" customHeight="true" outlineLevel="0" collapsed="false">
      <c r="A87" s="29" t="s">
        <v>115</v>
      </c>
      <c r="B87" s="89" t="n">
        <f aca="false">CGO_PLOT_DIMENSIONS!C26</f>
        <v>42.82</v>
      </c>
    </row>
    <row r="88" customFormat="false" ht="14.25" hidden="false" customHeight="true" outlineLevel="0" collapsed="false">
      <c r="A88" s="29" t="s">
        <v>116</v>
      </c>
      <c r="B88" s="89" t="n">
        <f aca="false">CGO_PLOT_DIMENSIONS!B26</f>
        <v>37.02</v>
      </c>
    </row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>
      <c r="A91" s="29" t="s">
        <v>117</v>
      </c>
      <c r="B91" s="81" t="n">
        <f aca="false">(B95/1.5)-B92</f>
        <v>7</v>
      </c>
    </row>
    <row r="92" customFormat="false" ht="14.25" hidden="false" customHeight="true" outlineLevel="0" collapsed="false">
      <c r="A92" s="29" t="s">
        <v>118</v>
      </c>
      <c r="B92" s="89" t="n">
        <v>18</v>
      </c>
    </row>
    <row r="93" customFormat="false" ht="14.25" hidden="false" customHeight="true" outlineLevel="0" collapsed="false"/>
    <row r="94" customFormat="false" ht="14.25" hidden="false" customHeight="true" outlineLevel="0" collapsed="false">
      <c r="A94" s="29" t="s">
        <v>119</v>
      </c>
      <c r="B94" s="29" t="n">
        <f aca="false">B87*B88</f>
        <v>1585.1964</v>
      </c>
    </row>
    <row r="95" customFormat="false" ht="14.25" hidden="false" customHeight="true" outlineLevel="0" collapsed="false">
      <c r="A95" s="29" t="s">
        <v>120</v>
      </c>
      <c r="B95" s="82" t="n">
        <v>37.5</v>
      </c>
    </row>
    <row r="96" customFormat="false" ht="14.25" hidden="false" customHeight="true" outlineLevel="0" collapsed="false">
      <c r="G96" s="29" t="s">
        <v>151</v>
      </c>
    </row>
    <row r="97" customFormat="false" ht="14.25" hidden="false" customHeight="true" outlineLevel="0" collapsed="false">
      <c r="A97" s="29" t="s">
        <v>122</v>
      </c>
      <c r="B97" s="29" t="n">
        <f aca="false">INT(B95/3.3)</f>
        <v>11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29" t="s">
        <v>123</v>
      </c>
      <c r="B99" s="82" t="n">
        <v>9</v>
      </c>
    </row>
    <row r="100" customFormat="false" ht="14.25" hidden="false" customHeight="true" outlineLevel="0" collapsed="false"/>
    <row r="101" customFormat="false" ht="14.25" hidden="false" customHeight="true" outlineLevel="0" collapsed="false">
      <c r="A101" s="29" t="s">
        <v>124</v>
      </c>
      <c r="B101" s="29" t="n">
        <f aca="false">B87-(B99*2)</f>
        <v>24.82</v>
      </c>
    </row>
    <row r="102" customFormat="false" ht="14.25" hidden="false" customHeight="true" outlineLevel="0" collapsed="false">
      <c r="A102" s="29" t="s">
        <v>125</v>
      </c>
      <c r="B102" s="29" t="n">
        <f aca="false">B88-B91-B99</f>
        <v>21.02</v>
      </c>
    </row>
    <row r="103" customFormat="false" ht="14.25" hidden="false" customHeight="true" outlineLevel="0" collapsed="false"/>
    <row r="104" customFormat="false" ht="14.25" hidden="false" customHeight="true" outlineLevel="0" collapsed="false">
      <c r="A104" s="29" t="s">
        <v>126</v>
      </c>
      <c r="B104" s="29" t="n">
        <f aca="false">B102*B101</f>
        <v>521.7164</v>
      </c>
    </row>
    <row r="105" customFormat="false" ht="14.25" hidden="false" customHeight="true" outlineLevel="0" collapsed="false"/>
    <row r="106" customFormat="false" ht="14.25" hidden="false" customHeight="true" outlineLevel="0" collapsed="false">
      <c r="A106" s="29" t="s">
        <v>127</v>
      </c>
      <c r="B106" s="29" t="n">
        <f aca="false">B97*B104</f>
        <v>5738.8804</v>
      </c>
    </row>
    <row r="107" customFormat="false" ht="14.25" hidden="false" customHeight="true" outlineLevel="0" collapsed="false">
      <c r="A107" s="29" t="s">
        <v>128</v>
      </c>
      <c r="B107" s="29" t="n">
        <f aca="false">B106*0.7</f>
        <v>4017.21628</v>
      </c>
    </row>
    <row r="108" customFormat="false" ht="14.25" hidden="false" customHeight="true" outlineLevel="0" collapsed="false">
      <c r="A108" s="29" t="s">
        <v>129</v>
      </c>
      <c r="B108" s="83" t="n">
        <f aca="false">IFERROR(B107/B94,0)</f>
        <v>2.53420729443998</v>
      </c>
    </row>
    <row r="109" customFormat="false" ht="14.25" hidden="false" customHeight="true" outlineLevel="0" collapsed="false"/>
    <row r="110" customFormat="false" ht="14.25" hidden="false" customHeight="true" outlineLevel="0" collapsed="false">
      <c r="G110" s="29" t="s">
        <v>130</v>
      </c>
    </row>
    <row r="111" customFormat="false" ht="14.25" hidden="false" customHeight="true" outlineLevel="0" collapsed="false">
      <c r="A111" s="29" t="s">
        <v>131</v>
      </c>
    </row>
    <row r="112" customFormat="false" ht="14.25" hidden="false" customHeight="true" outlineLevel="0" collapsed="false">
      <c r="A112" s="29" t="s">
        <v>132</v>
      </c>
      <c r="B112" s="29" t="n">
        <f aca="false">B87-(3)</f>
        <v>39.82</v>
      </c>
      <c r="G112" s="29" t="s">
        <v>133</v>
      </c>
      <c r="H112" s="29" t="n">
        <f aca="false">IF(B107&lt;=1500, B107/37.5, 1500/37.5)</f>
        <v>40</v>
      </c>
    </row>
    <row r="113" customFormat="false" ht="14.25" hidden="false" customHeight="true" outlineLevel="0" collapsed="false">
      <c r="A113" s="29" t="s">
        <v>134</v>
      </c>
      <c r="B113" s="29" t="n">
        <f aca="false">B88-3</f>
        <v>34.02</v>
      </c>
      <c r="G113" s="29" t="s">
        <v>135</v>
      </c>
      <c r="H113" s="29" t="n">
        <f aca="false">IF(B107&lt;=1500, "BUA IS MET", B107-1500)</f>
        <v>2517.21628</v>
      </c>
      <c r="K113" s="17" t="s">
        <v>47</v>
      </c>
      <c r="L113" s="29" t="n">
        <f aca="false">IF(H118-B115&lt;=0,0,H118-B115)</f>
        <v>0</v>
      </c>
    </row>
    <row r="114" customFormat="false" ht="14.25" hidden="false" customHeight="true" outlineLevel="0" collapsed="false">
      <c r="A114" s="29" t="s">
        <v>136</v>
      </c>
      <c r="B114" s="29" t="n">
        <f aca="false">B113*B112</f>
        <v>1354.6764</v>
      </c>
      <c r="G114" s="29" t="s">
        <v>137</v>
      </c>
      <c r="H114" s="29" t="n">
        <f aca="false">IF(B107&lt;=1500,0,H113/75)</f>
        <v>33.5628837333333</v>
      </c>
      <c r="K114" s="17" t="s">
        <v>48</v>
      </c>
      <c r="L114" s="29" t="n">
        <f aca="false">MIN( ROUNDUP(L113 / C120, 0), E120 )</f>
        <v>0</v>
      </c>
    </row>
    <row r="115" customFormat="false" ht="14.25" hidden="false" customHeight="true" outlineLevel="0" collapsed="false">
      <c r="A115" s="29" t="s">
        <v>138</v>
      </c>
      <c r="B115" s="29" t="n">
        <f aca="false">3*B114</f>
        <v>4064.0292</v>
      </c>
      <c r="G115" s="29" t="s">
        <v>139</v>
      </c>
      <c r="H115" s="29" t="n">
        <f aca="false">H112+H114</f>
        <v>73.5628837333333</v>
      </c>
    </row>
    <row r="116" customFormat="false" ht="14.25" hidden="false" customHeight="true" outlineLevel="0" collapsed="false">
      <c r="A116" s="29" t="s">
        <v>140</v>
      </c>
      <c r="B116" s="29" t="n">
        <f aca="false">B115/35</f>
        <v>116.11512</v>
      </c>
      <c r="G116" s="29" t="s">
        <v>141</v>
      </c>
      <c r="H116" s="29" t="n">
        <f aca="false">H115*0.1</f>
        <v>7.35628837333333</v>
      </c>
    </row>
    <row r="117" customFormat="false" ht="14.25" hidden="false" customHeight="true" outlineLevel="0" collapsed="false">
      <c r="G117" s="29" t="s">
        <v>142</v>
      </c>
      <c r="H117" s="29" t="n">
        <f aca="false">ROUNDUP(H115+H116,0)</f>
        <v>81</v>
      </c>
    </row>
    <row r="118" customFormat="false" ht="14.25" hidden="false" customHeight="true" outlineLevel="0" collapsed="false">
      <c r="G118" s="29" t="s">
        <v>143</v>
      </c>
      <c r="H118" s="29" t="n">
        <f aca="false">H117*35</f>
        <v>2835</v>
      </c>
    </row>
    <row r="119" customFormat="false" ht="54.75" hidden="false" customHeight="true" outlineLevel="0" collapsed="false">
      <c r="A119" s="38" t="s">
        <v>50</v>
      </c>
      <c r="B119" s="38" t="s">
        <v>51</v>
      </c>
      <c r="C119" s="38" t="s">
        <v>52</v>
      </c>
      <c r="D119" s="38" t="s">
        <v>53</v>
      </c>
      <c r="E119" s="38" t="s">
        <v>54</v>
      </c>
      <c r="F119" s="38" t="s">
        <v>55</v>
      </c>
      <c r="G119" s="38" t="s">
        <v>56</v>
      </c>
      <c r="H119" s="38" t="s">
        <v>57</v>
      </c>
      <c r="I119" s="84" t="s">
        <v>58</v>
      </c>
      <c r="J119" s="85" t="s">
        <v>59</v>
      </c>
      <c r="K119" s="85" t="s">
        <v>60</v>
      </c>
      <c r="L119" s="38" t="s">
        <v>61</v>
      </c>
      <c r="M119" s="38" t="s">
        <v>62</v>
      </c>
      <c r="N119" s="86" t="s">
        <v>63</v>
      </c>
      <c r="O119" s="38" t="s">
        <v>64</v>
      </c>
      <c r="P119" s="87" t="s">
        <v>144</v>
      </c>
      <c r="Q119" s="87" t="s">
        <v>145</v>
      </c>
    </row>
    <row r="120" customFormat="false" ht="14.25" hidden="false" customHeight="true" outlineLevel="0" collapsed="false">
      <c r="A120" s="29" t="s">
        <v>146</v>
      </c>
      <c r="B120" s="29" t="s">
        <v>147</v>
      </c>
      <c r="C120" s="29" t="n">
        <f aca="false">B104</f>
        <v>521.7164</v>
      </c>
      <c r="D120" s="29" t="n">
        <v>37.5</v>
      </c>
      <c r="E120" s="29" t="n">
        <f aca="false">INT(D120/3.3)</f>
        <v>11</v>
      </c>
      <c r="F120" s="29" t="n">
        <f aca="false">L114</f>
        <v>0</v>
      </c>
      <c r="G120" s="29" t="n">
        <f aca="false">IF(F120&lt;=0,0,F120*C120)</f>
        <v>0</v>
      </c>
      <c r="H120" s="29" t="n">
        <f aca="false">F120*2.4</f>
        <v>0</v>
      </c>
      <c r="I120" s="29" t="n">
        <f aca="false">D120-H120</f>
        <v>37.5</v>
      </c>
      <c r="J120" s="29" t="n">
        <f aca="false">INT(I120/3.3)</f>
        <v>11</v>
      </c>
      <c r="K120" s="29" t="n">
        <f aca="false">IF(F120&gt;0, J120*C120, E120*C120)</f>
        <v>5738.8804</v>
      </c>
      <c r="L120" s="29" t="n">
        <f aca="false">MIN(B107,K120)</f>
        <v>4017.21628</v>
      </c>
      <c r="M120" s="29" t="n">
        <f aca="false">IF(F120&gt;0, MIN(ROUNDUP(L120/C120,0), J120), MIN(ROUNDUP(L120/C120,0), E120))</f>
        <v>8</v>
      </c>
      <c r="N120" s="29" t="n">
        <f aca="false">M120*3.3</f>
        <v>26.4</v>
      </c>
      <c r="O120" s="29" t="n">
        <f aca="false">N120+H120</f>
        <v>26.4</v>
      </c>
      <c r="P120" s="88" t="n">
        <f aca="false">M120*C120</f>
        <v>4173.7312</v>
      </c>
      <c r="Q120" s="88" t="n">
        <f aca="false">P120-B107</f>
        <v>156.51492</v>
      </c>
    </row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6.5" hidden="false" customHeight="true" outlineLevel="0" collapsed="false">
      <c r="A123" s="80" t="s">
        <v>171</v>
      </c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</row>
    <row r="124" customFormat="false" ht="14.25" hidden="false" customHeight="true" outlineLevel="0" collapsed="false"/>
    <row r="125" customFormat="false" ht="14.25" hidden="false" customHeight="true" outlineLevel="0" collapsed="false">
      <c r="A125" s="29" t="s">
        <v>115</v>
      </c>
      <c r="B125" s="89" t="n">
        <f aca="false">CGO_PLOT_DIMENSIONS!C26</f>
        <v>42.82</v>
      </c>
    </row>
    <row r="126" customFormat="false" ht="14.25" hidden="false" customHeight="true" outlineLevel="0" collapsed="false">
      <c r="A126" s="29" t="s">
        <v>116</v>
      </c>
      <c r="B126" s="89" t="n">
        <f aca="false">CGO_PLOT_DIMENSIONS!B26+CGO_PLOT_DIMENSIONS!B27</f>
        <v>74.04</v>
      </c>
    </row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>
      <c r="A129" s="29" t="s">
        <v>117</v>
      </c>
      <c r="B129" s="81" t="n">
        <f aca="false">(B133/1.5)-B130</f>
        <v>7</v>
      </c>
    </row>
    <row r="130" customFormat="false" ht="14.25" hidden="false" customHeight="true" outlineLevel="0" collapsed="false">
      <c r="A130" s="29" t="s">
        <v>118</v>
      </c>
      <c r="B130" s="89" t="n">
        <v>18</v>
      </c>
    </row>
    <row r="131" customFormat="false" ht="14.25" hidden="false" customHeight="true" outlineLevel="0" collapsed="false"/>
    <row r="132" customFormat="false" ht="14.25" hidden="false" customHeight="true" outlineLevel="0" collapsed="false">
      <c r="A132" s="29" t="s">
        <v>119</v>
      </c>
      <c r="B132" s="29" t="n">
        <f aca="false">B125*B126</f>
        <v>3170.3928</v>
      </c>
    </row>
    <row r="133" customFormat="false" ht="14.25" hidden="false" customHeight="true" outlineLevel="0" collapsed="false">
      <c r="A133" s="29" t="s">
        <v>120</v>
      </c>
      <c r="B133" s="82" t="n">
        <v>37.5</v>
      </c>
    </row>
    <row r="134" customFormat="false" ht="14.25" hidden="false" customHeight="true" outlineLevel="0" collapsed="false">
      <c r="G134" s="29" t="s">
        <v>151</v>
      </c>
    </row>
    <row r="135" customFormat="false" ht="14.25" hidden="false" customHeight="true" outlineLevel="0" collapsed="false">
      <c r="A135" s="29" t="s">
        <v>122</v>
      </c>
      <c r="B135" s="29" t="n">
        <f aca="false">INT(B133/3.3)</f>
        <v>11</v>
      </c>
    </row>
    <row r="136" customFormat="false" ht="14.25" hidden="false" customHeight="true" outlineLevel="0" collapsed="false"/>
    <row r="137" customFormat="false" ht="14.25" hidden="false" customHeight="true" outlineLevel="0" collapsed="false">
      <c r="A137" s="29" t="s">
        <v>123</v>
      </c>
      <c r="B137" s="82" t="n">
        <v>9</v>
      </c>
    </row>
    <row r="138" customFormat="false" ht="14.25" hidden="false" customHeight="true" outlineLevel="0" collapsed="false"/>
    <row r="139" customFormat="false" ht="14.25" hidden="false" customHeight="true" outlineLevel="0" collapsed="false">
      <c r="A139" s="29" t="s">
        <v>124</v>
      </c>
      <c r="B139" s="29" t="n">
        <f aca="false">B125-(B137*2)</f>
        <v>24.82</v>
      </c>
    </row>
    <row r="140" customFormat="false" ht="14.25" hidden="false" customHeight="true" outlineLevel="0" collapsed="false">
      <c r="A140" s="29" t="s">
        <v>125</v>
      </c>
      <c r="B140" s="29" t="n">
        <f aca="false">B126-B129-B137</f>
        <v>58.04</v>
      </c>
    </row>
    <row r="141" customFormat="false" ht="14.25" hidden="false" customHeight="true" outlineLevel="0" collapsed="false"/>
    <row r="142" customFormat="false" ht="14.25" hidden="false" customHeight="true" outlineLevel="0" collapsed="false">
      <c r="A142" s="29" t="s">
        <v>126</v>
      </c>
      <c r="B142" s="29" t="n">
        <f aca="false">B140*B139</f>
        <v>1440.5528</v>
      </c>
    </row>
    <row r="143" customFormat="false" ht="14.25" hidden="false" customHeight="true" outlineLevel="0" collapsed="false"/>
    <row r="144" customFormat="false" ht="14.25" hidden="false" customHeight="true" outlineLevel="0" collapsed="false">
      <c r="A144" s="29" t="s">
        <v>127</v>
      </c>
      <c r="B144" s="29" t="n">
        <f aca="false">B135*B142</f>
        <v>15846.0808</v>
      </c>
    </row>
    <row r="145" customFormat="false" ht="14.25" hidden="false" customHeight="true" outlineLevel="0" collapsed="false">
      <c r="A145" s="29" t="s">
        <v>128</v>
      </c>
      <c r="B145" s="29" t="n">
        <f aca="false">B144*0.7</f>
        <v>11092.25656</v>
      </c>
    </row>
    <row r="146" customFormat="false" ht="14.25" hidden="false" customHeight="true" outlineLevel="0" collapsed="false">
      <c r="A146" s="29" t="s">
        <v>129</v>
      </c>
      <c r="B146" s="83" t="n">
        <f aca="false">IFERROR(B145/B132,0)</f>
        <v>3.4987010316198</v>
      </c>
    </row>
    <row r="147" customFormat="false" ht="14.25" hidden="false" customHeight="true" outlineLevel="0" collapsed="false"/>
    <row r="148" customFormat="false" ht="14.25" hidden="false" customHeight="true" outlineLevel="0" collapsed="false">
      <c r="G148" s="29" t="s">
        <v>130</v>
      </c>
    </row>
    <row r="149" customFormat="false" ht="14.25" hidden="false" customHeight="true" outlineLevel="0" collapsed="false">
      <c r="A149" s="29" t="s">
        <v>131</v>
      </c>
    </row>
    <row r="150" customFormat="false" ht="14.25" hidden="false" customHeight="true" outlineLevel="0" collapsed="false">
      <c r="A150" s="29" t="s">
        <v>132</v>
      </c>
      <c r="B150" s="29" t="n">
        <f aca="false">B125-(3)</f>
        <v>39.82</v>
      </c>
      <c r="G150" s="29" t="s">
        <v>133</v>
      </c>
      <c r="H150" s="29" t="n">
        <f aca="false">IF(B145&lt;=1500, B145/37.5, 1500/37.5)</f>
        <v>40</v>
      </c>
    </row>
    <row r="151" customFormat="false" ht="14.25" hidden="false" customHeight="true" outlineLevel="0" collapsed="false">
      <c r="A151" s="29" t="s">
        <v>134</v>
      </c>
      <c r="B151" s="29" t="n">
        <f aca="false">B126-3</f>
        <v>71.04</v>
      </c>
      <c r="G151" s="29" t="s">
        <v>135</v>
      </c>
      <c r="H151" s="29" t="n">
        <f aca="false">IF(B145&lt;=1500, "BUA IS MET", B145-1500)</f>
        <v>9592.25656</v>
      </c>
      <c r="K151" s="17" t="s">
        <v>47</v>
      </c>
      <c r="L151" s="29" t="n">
        <f aca="false">IF(H156-B153&lt;=0,0,H156-B153)</f>
        <v>0</v>
      </c>
    </row>
    <row r="152" customFormat="false" ht="14.25" hidden="false" customHeight="true" outlineLevel="0" collapsed="false">
      <c r="A152" s="29" t="s">
        <v>136</v>
      </c>
      <c r="B152" s="29" t="n">
        <f aca="false">B151*B150</f>
        <v>2828.8128</v>
      </c>
      <c r="G152" s="29" t="s">
        <v>137</v>
      </c>
      <c r="H152" s="29" t="n">
        <f aca="false">IF(B145&lt;=1500,0,H151/75)</f>
        <v>127.896754133333</v>
      </c>
      <c r="K152" s="17" t="s">
        <v>48</v>
      </c>
      <c r="L152" s="29" t="n">
        <f aca="false">MIN( ROUNDUP(L151 / C158, 0), E158 )</f>
        <v>0</v>
      </c>
    </row>
    <row r="153" customFormat="false" ht="14.25" hidden="false" customHeight="true" outlineLevel="0" collapsed="false">
      <c r="A153" s="29" t="s">
        <v>138</v>
      </c>
      <c r="B153" s="29" t="n">
        <f aca="false">3*B152</f>
        <v>8486.4384</v>
      </c>
      <c r="G153" s="29" t="s">
        <v>139</v>
      </c>
      <c r="H153" s="29" t="n">
        <f aca="false">H150+H152</f>
        <v>167.896754133333</v>
      </c>
    </row>
    <row r="154" customFormat="false" ht="14.25" hidden="false" customHeight="true" outlineLevel="0" collapsed="false">
      <c r="A154" s="29" t="s">
        <v>140</v>
      </c>
      <c r="B154" s="29" t="n">
        <f aca="false">B153/35</f>
        <v>242.469668571429</v>
      </c>
      <c r="G154" s="29" t="s">
        <v>141</v>
      </c>
      <c r="H154" s="29" t="n">
        <f aca="false">H153*0.1</f>
        <v>16.7896754133333</v>
      </c>
    </row>
    <row r="155" customFormat="false" ht="14.25" hidden="false" customHeight="true" outlineLevel="0" collapsed="false">
      <c r="G155" s="29" t="s">
        <v>142</v>
      </c>
      <c r="H155" s="29" t="n">
        <f aca="false">ROUNDUP(H153+H154,0)</f>
        <v>185</v>
      </c>
    </row>
    <row r="156" customFormat="false" ht="14.25" hidden="false" customHeight="true" outlineLevel="0" collapsed="false">
      <c r="G156" s="29" t="s">
        <v>143</v>
      </c>
      <c r="H156" s="29" t="n">
        <f aca="false">H155*35</f>
        <v>6475</v>
      </c>
    </row>
    <row r="157" customFormat="false" ht="54.75" hidden="false" customHeight="true" outlineLevel="0" collapsed="false">
      <c r="A157" s="38" t="s">
        <v>50</v>
      </c>
      <c r="B157" s="38" t="s">
        <v>51</v>
      </c>
      <c r="C157" s="38" t="s">
        <v>52</v>
      </c>
      <c r="D157" s="38" t="s">
        <v>53</v>
      </c>
      <c r="E157" s="38" t="s">
        <v>54</v>
      </c>
      <c r="F157" s="38" t="s">
        <v>55</v>
      </c>
      <c r="G157" s="38" t="s">
        <v>56</v>
      </c>
      <c r="H157" s="38" t="s">
        <v>57</v>
      </c>
      <c r="I157" s="84" t="s">
        <v>58</v>
      </c>
      <c r="J157" s="85" t="s">
        <v>59</v>
      </c>
      <c r="K157" s="85" t="s">
        <v>60</v>
      </c>
      <c r="L157" s="38" t="s">
        <v>61</v>
      </c>
      <c r="M157" s="38" t="s">
        <v>62</v>
      </c>
      <c r="N157" s="86" t="s">
        <v>63</v>
      </c>
      <c r="O157" s="38" t="s">
        <v>64</v>
      </c>
      <c r="P157" s="87" t="s">
        <v>144</v>
      </c>
      <c r="Q157" s="87" t="s">
        <v>145</v>
      </c>
    </row>
    <row r="158" customFormat="false" ht="14.25" hidden="false" customHeight="true" outlineLevel="0" collapsed="false">
      <c r="A158" s="29" t="s">
        <v>146</v>
      </c>
      <c r="B158" s="29" t="s">
        <v>147</v>
      </c>
      <c r="C158" s="29" t="n">
        <f aca="false">B142</f>
        <v>1440.5528</v>
      </c>
      <c r="D158" s="29" t="n">
        <v>37.5</v>
      </c>
      <c r="E158" s="29" t="n">
        <f aca="false">INT(D158/3.3)</f>
        <v>11</v>
      </c>
      <c r="F158" s="29" t="n">
        <f aca="false">L152</f>
        <v>0</v>
      </c>
      <c r="G158" s="29" t="n">
        <f aca="false">IF(F158&lt;=0,0,F158*C158)</f>
        <v>0</v>
      </c>
      <c r="H158" s="29" t="n">
        <f aca="false">F158*2.4</f>
        <v>0</v>
      </c>
      <c r="I158" s="29" t="n">
        <f aca="false">D158-H158</f>
        <v>37.5</v>
      </c>
      <c r="J158" s="29" t="n">
        <f aca="false">INT(I158/3.3)</f>
        <v>11</v>
      </c>
      <c r="K158" s="29" t="n">
        <f aca="false">IF(F158&gt;0, J158*C158, E158*C158)</f>
        <v>15846.0808</v>
      </c>
      <c r="L158" s="29" t="n">
        <f aca="false">MIN(B145,K158)</f>
        <v>11092.25656</v>
      </c>
      <c r="M158" s="29" t="n">
        <f aca="false">IF(F158&gt;0, MIN(ROUNDUP(L158/C158,0), J158), MIN(ROUNDUP(L158/C158,0), E158))</f>
        <v>8</v>
      </c>
      <c r="N158" s="29" t="n">
        <f aca="false">M158*3.3</f>
        <v>26.4</v>
      </c>
      <c r="O158" s="29" t="n">
        <f aca="false">N158+H158</f>
        <v>26.4</v>
      </c>
      <c r="P158" s="88" t="n">
        <f aca="false">M158*C158</f>
        <v>11524.4224</v>
      </c>
      <c r="Q158" s="88" t="n">
        <f aca="false">P158-B145</f>
        <v>432.165840000002</v>
      </c>
    </row>
  </sheetData>
  <mergeCells count="31">
    <mergeCell ref="A1:D1"/>
    <mergeCell ref="A2:D2"/>
    <mergeCell ref="A4:D4"/>
    <mergeCell ref="A20:D20"/>
    <mergeCell ref="A26:D26"/>
    <mergeCell ref="A34:D34"/>
    <mergeCell ref="A47:J47"/>
    <mergeCell ref="A54:D54"/>
    <mergeCell ref="F66:G66"/>
    <mergeCell ref="A70:Q70"/>
    <mergeCell ref="A71:B71"/>
    <mergeCell ref="C71:Q71"/>
    <mergeCell ref="A72:B72"/>
    <mergeCell ref="C72:Q72"/>
    <mergeCell ref="A73:B73"/>
    <mergeCell ref="C73:Q73"/>
    <mergeCell ref="A74:B74"/>
    <mergeCell ref="C74:Q74"/>
    <mergeCell ref="A75:B75"/>
    <mergeCell ref="C75:Q75"/>
    <mergeCell ref="A76:B76"/>
    <mergeCell ref="C76:Q76"/>
    <mergeCell ref="A77:B77"/>
    <mergeCell ref="C77:Q77"/>
    <mergeCell ref="A78:B78"/>
    <mergeCell ref="C78:Q78"/>
    <mergeCell ref="A79:B80"/>
    <mergeCell ref="C79:Q79"/>
    <mergeCell ref="C80:Q80"/>
    <mergeCell ref="A85:Q85"/>
    <mergeCell ref="A123:Q1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G33" activeCellId="0" sqref="G3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7" width="22"/>
    <col collapsed="false" customWidth="true" hidden="false" outlineLevel="0" max="3" min="2" style="17" width="14"/>
    <col collapsed="false" customWidth="true" hidden="false" outlineLevel="0" max="6" min="4" style="17" width="18"/>
    <col collapsed="false" customWidth="true" hidden="false" outlineLevel="0" max="7" min="7" style="17" width="50.11"/>
    <col collapsed="false" customWidth="true" hidden="false" outlineLevel="0" max="8" min="8" style="17" width="11.22"/>
    <col collapsed="false" customWidth="true" hidden="false" outlineLevel="0" max="9" min="9" style="17" width="13.88"/>
    <col collapsed="false" customWidth="true" hidden="false" outlineLevel="0" max="10" min="10" style="17" width="9.44"/>
    <col collapsed="false" customWidth="false" hidden="false" outlineLevel="0" max="16384" min="11" style="17" width="8.67"/>
  </cols>
  <sheetData>
    <row r="1" customFormat="false" ht="17.25" hidden="false" customHeight="true" outlineLevel="0" collapsed="false">
      <c r="A1" s="94" t="s">
        <v>172</v>
      </c>
      <c r="B1" s="94"/>
      <c r="C1" s="94"/>
      <c r="D1" s="94"/>
      <c r="E1" s="94"/>
      <c r="F1" s="94"/>
    </row>
    <row r="2" customFormat="false" ht="15.75" hidden="false" customHeight="true" outlineLevel="0" collapsed="false">
      <c r="A2" s="95" t="s">
        <v>173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customFormat="false" ht="24" hidden="false" customHeight="true" outlineLevel="0" collapsed="false">
      <c r="A3" s="96" t="s">
        <v>174</v>
      </c>
      <c r="B3" s="96" t="s">
        <v>175</v>
      </c>
      <c r="C3" s="96" t="s">
        <v>176</v>
      </c>
      <c r="D3" s="97" t="s">
        <v>177</v>
      </c>
      <c r="E3" s="98" t="s">
        <v>178</v>
      </c>
      <c r="F3" s="99" t="s">
        <v>179</v>
      </c>
      <c r="G3" s="17" t="s">
        <v>129</v>
      </c>
      <c r="H3" s="100" t="s">
        <v>180</v>
      </c>
      <c r="I3" s="17" t="s">
        <v>181</v>
      </c>
      <c r="J3" s="17" t="s">
        <v>182</v>
      </c>
      <c r="K3" s="17" t="s">
        <v>132</v>
      </c>
    </row>
    <row r="4" customFormat="false" ht="18" hidden="false" customHeight="true" outlineLevel="0" collapsed="false">
      <c r="A4" s="101" t="s">
        <v>183</v>
      </c>
      <c r="B4" s="102" t="s">
        <v>184</v>
      </c>
      <c r="C4" s="103" t="n">
        <v>6334.49</v>
      </c>
      <c r="D4" s="104"/>
      <c r="E4" s="104"/>
      <c r="F4" s="104"/>
      <c r="H4" s="104"/>
    </row>
    <row r="5" customFormat="false" ht="18" hidden="false" customHeight="true" outlineLevel="0" collapsed="false">
      <c r="A5" s="101"/>
      <c r="B5" s="10" t="s">
        <v>185</v>
      </c>
      <c r="C5" s="11" t="n">
        <v>3167.09</v>
      </c>
      <c r="D5" s="14" t="n">
        <v>1724.47</v>
      </c>
      <c r="E5" s="15" t="n">
        <v>1314.53</v>
      </c>
      <c r="F5" s="16" t="n">
        <v>940.1</v>
      </c>
      <c r="G5" s="17" t="n">
        <v>10.8</v>
      </c>
      <c r="H5" s="105" t="n">
        <v>2825.34</v>
      </c>
      <c r="I5" s="17" t="n">
        <v>164.7</v>
      </c>
      <c r="J5" s="17" t="n">
        <v>73.96</v>
      </c>
      <c r="K5" s="17" t="n">
        <v>42.82</v>
      </c>
    </row>
    <row r="6" customFormat="false" ht="18" hidden="false" customHeight="true" outlineLevel="0" collapsed="false">
      <c r="A6" s="101"/>
      <c r="B6" s="71" t="s">
        <v>186</v>
      </c>
      <c r="C6" s="72" t="n">
        <v>3167.85</v>
      </c>
      <c r="D6" s="14" t="n">
        <v>1725.34</v>
      </c>
      <c r="E6" s="15" t="n">
        <v>1314.98</v>
      </c>
      <c r="F6" s="16" t="n">
        <v>940.62</v>
      </c>
      <c r="G6" s="17" t="n">
        <v>10.8</v>
      </c>
      <c r="H6" s="105" t="n">
        <v>2826.44</v>
      </c>
      <c r="I6" s="17" t="n">
        <v>164.7</v>
      </c>
      <c r="J6" s="17" t="n">
        <v>73.96</v>
      </c>
      <c r="K6" s="17" t="n">
        <v>42.82</v>
      </c>
    </row>
    <row r="7" customFormat="false" ht="18" hidden="false" customHeight="true" outlineLevel="0" collapsed="false">
      <c r="A7" s="101" t="s">
        <v>187</v>
      </c>
      <c r="B7" s="102" t="s">
        <v>184</v>
      </c>
      <c r="C7" s="103" t="n">
        <v>6334.49</v>
      </c>
      <c r="D7" s="104"/>
      <c r="E7" s="104"/>
      <c r="F7" s="104"/>
      <c r="H7" s="104"/>
    </row>
    <row r="8" customFormat="false" ht="18" hidden="false" customHeight="true" outlineLevel="0" collapsed="false">
      <c r="A8" s="101"/>
      <c r="B8" s="71" t="s">
        <v>161</v>
      </c>
      <c r="C8" s="72" t="n">
        <v>3167.22</v>
      </c>
      <c r="D8" s="14" t="n">
        <v>1724.52</v>
      </c>
      <c r="E8" s="15" t="n">
        <v>1314.31</v>
      </c>
      <c r="F8" s="16" t="n">
        <v>940.3</v>
      </c>
      <c r="G8" s="17" t="n">
        <v>10.8</v>
      </c>
      <c r="H8" s="105" t="n">
        <v>2825.86</v>
      </c>
      <c r="I8" s="17" t="n">
        <v>164.7</v>
      </c>
      <c r="J8" s="17" t="n">
        <f aca="false">73.96</f>
        <v>73.96</v>
      </c>
      <c r="K8" s="17" t="n">
        <v>42.82</v>
      </c>
    </row>
    <row r="9" customFormat="false" ht="18" hidden="false" customHeight="true" outlineLevel="0" collapsed="false">
      <c r="A9" s="101"/>
      <c r="B9" s="10" t="s">
        <v>164</v>
      </c>
      <c r="C9" s="11" t="n">
        <v>3167.73</v>
      </c>
      <c r="D9" s="14" t="n">
        <v>1725.87</v>
      </c>
      <c r="E9" s="15" t="n">
        <v>1315.39</v>
      </c>
      <c r="F9" s="16" t="n">
        <v>940.54</v>
      </c>
      <c r="G9" s="17" t="n">
        <v>10.8</v>
      </c>
      <c r="H9" s="105" t="n">
        <v>2826.33</v>
      </c>
      <c r="I9" s="17" t="n">
        <v>164.7</v>
      </c>
      <c r="J9" s="17" t="n">
        <f aca="false">73.96</f>
        <v>73.96</v>
      </c>
      <c r="K9" s="17" t="n">
        <v>42.82</v>
      </c>
    </row>
    <row r="10" customFormat="false" ht="18" hidden="false" customHeight="true" outlineLevel="0" collapsed="false">
      <c r="A10" s="101" t="s">
        <v>188</v>
      </c>
      <c r="B10" s="102" t="s">
        <v>184</v>
      </c>
      <c r="C10" s="103" t="n">
        <v>6333.57</v>
      </c>
      <c r="D10" s="104"/>
      <c r="E10" s="104"/>
      <c r="F10" s="104"/>
      <c r="H10" s="104"/>
    </row>
    <row r="11" customFormat="false" ht="18" hidden="false" customHeight="true" outlineLevel="0" collapsed="false">
      <c r="A11" s="101"/>
      <c r="B11" s="10" t="s">
        <v>153</v>
      </c>
      <c r="C11" s="11" t="n">
        <v>3168.5</v>
      </c>
      <c r="D11" s="14" t="n">
        <v>1725.79</v>
      </c>
      <c r="E11" s="15" t="n">
        <v>1315.32</v>
      </c>
      <c r="F11" s="16" t="n">
        <v>940.86</v>
      </c>
      <c r="G11" s="17" t="n">
        <v>10.1</v>
      </c>
      <c r="H11" s="105" t="n">
        <v>2827.04</v>
      </c>
      <c r="I11" s="17" t="n">
        <v>153.72</v>
      </c>
      <c r="J11" s="17" t="n">
        <f aca="false">73.96</f>
        <v>73.96</v>
      </c>
      <c r="K11" s="17" t="n">
        <v>42.82</v>
      </c>
    </row>
    <row r="12" customFormat="false" ht="18" hidden="false" customHeight="true" outlineLevel="0" collapsed="false">
      <c r="A12" s="101"/>
      <c r="B12" s="71" t="s">
        <v>149</v>
      </c>
      <c r="C12" s="72" t="n">
        <v>3169</v>
      </c>
      <c r="D12" s="14" t="n">
        <v>1726.18</v>
      </c>
      <c r="E12" s="15" t="n">
        <v>1315.74</v>
      </c>
      <c r="F12" s="16" t="n">
        <v>941.31</v>
      </c>
      <c r="G12" s="17" t="n">
        <v>10.1</v>
      </c>
      <c r="H12" s="105" t="n">
        <v>2827.54</v>
      </c>
      <c r="I12" s="17" t="n">
        <v>153.72</v>
      </c>
      <c r="J12" s="17" t="n">
        <f aca="false">73.96</f>
        <v>73.96</v>
      </c>
      <c r="K12" s="17" t="n">
        <v>42.82</v>
      </c>
    </row>
    <row r="13" customFormat="false" ht="18" hidden="false" customHeight="true" outlineLevel="0" collapsed="false">
      <c r="A13" s="101" t="s">
        <v>189</v>
      </c>
      <c r="B13" s="102" t="s">
        <v>184</v>
      </c>
      <c r="C13" s="103" t="n">
        <v>6334.84</v>
      </c>
      <c r="D13" s="104"/>
      <c r="E13" s="104"/>
      <c r="F13" s="104"/>
      <c r="H13" s="104"/>
    </row>
    <row r="14" customFormat="false" ht="18" hidden="false" customHeight="true" outlineLevel="0" collapsed="false">
      <c r="A14" s="101"/>
      <c r="B14" s="71" t="s">
        <v>157</v>
      </c>
      <c r="C14" s="72" t="n">
        <v>3171.66</v>
      </c>
      <c r="D14" s="14" t="n">
        <v>1728.05</v>
      </c>
      <c r="E14" s="15" t="n">
        <v>1317.13</v>
      </c>
      <c r="F14" s="16" t="n">
        <v>942.2</v>
      </c>
      <c r="G14" s="17" t="n">
        <v>4</v>
      </c>
      <c r="H14" s="105" t="n">
        <v>2829.98</v>
      </c>
      <c r="I14" s="17" t="n">
        <v>87.84</v>
      </c>
    </row>
    <row r="15" customFormat="false" ht="18" hidden="false" customHeight="true" outlineLevel="0" collapsed="false">
      <c r="A15" s="101"/>
      <c r="B15" s="10" t="s">
        <v>156</v>
      </c>
      <c r="C15" s="11" t="n">
        <v>3172.69</v>
      </c>
      <c r="D15" s="14" t="n">
        <v>1728.8</v>
      </c>
      <c r="E15" s="15" t="n">
        <v>1317.8</v>
      </c>
      <c r="F15" s="16" t="n">
        <v>942.79</v>
      </c>
      <c r="G15" s="17" t="n">
        <v>4</v>
      </c>
      <c r="H15" s="105" t="n">
        <v>2830.95</v>
      </c>
      <c r="I15" s="17" t="n">
        <v>87.84</v>
      </c>
    </row>
    <row r="16" customFormat="false" ht="18" hidden="false" customHeight="true" outlineLevel="0" collapsed="false">
      <c r="A16" s="101" t="s">
        <v>190</v>
      </c>
      <c r="B16" s="102" t="s">
        <v>184</v>
      </c>
      <c r="C16" s="103" t="n">
        <v>12111.56</v>
      </c>
      <c r="D16" s="104"/>
      <c r="E16" s="104"/>
      <c r="F16" s="104"/>
      <c r="H16" s="104"/>
    </row>
    <row r="17" customFormat="false" ht="18" hidden="false" customHeight="true" outlineLevel="0" collapsed="false">
      <c r="A17" s="101"/>
      <c r="B17" s="10" t="s">
        <v>160</v>
      </c>
      <c r="C17" s="11" t="n">
        <v>3508.84</v>
      </c>
      <c r="D17" s="14" t="n">
        <v>1973.43</v>
      </c>
      <c r="E17" s="15" t="n">
        <v>1520.09</v>
      </c>
      <c r="F17" s="16" t="n">
        <v>1102.76</v>
      </c>
      <c r="G17" s="17" t="n">
        <v>4.8</v>
      </c>
      <c r="H17" s="105" t="n">
        <v>3145.08</v>
      </c>
      <c r="I17" s="17" t="n">
        <v>73.2</v>
      </c>
    </row>
    <row r="18" customFormat="false" ht="18" hidden="false" customHeight="true" outlineLevel="0" collapsed="false">
      <c r="A18" s="101"/>
      <c r="B18" s="71" t="s">
        <v>159</v>
      </c>
      <c r="C18" s="72" t="n">
        <v>3507.4</v>
      </c>
      <c r="D18" s="14" t="n">
        <v>1972.23</v>
      </c>
      <c r="E18" s="15" t="n">
        <v>1518.94</v>
      </c>
      <c r="F18" s="16" t="n">
        <v>1101.65</v>
      </c>
      <c r="G18" s="17" t="n">
        <v>4.8</v>
      </c>
      <c r="H18" s="105" t="n">
        <v>3143.59</v>
      </c>
      <c r="I18" s="17" t="n">
        <v>73.2</v>
      </c>
    </row>
    <row r="19" customFormat="false" ht="18" hidden="false" customHeight="true" outlineLevel="0" collapsed="false">
      <c r="A19" s="101"/>
      <c r="B19" s="10" t="s">
        <v>191</v>
      </c>
      <c r="C19" s="11" t="n">
        <v>5093.99</v>
      </c>
      <c r="D19" s="14" t="n">
        <v>3140.69</v>
      </c>
      <c r="E19" s="15" t="n">
        <v>2628.68</v>
      </c>
      <c r="F19" s="16" t="n">
        <v>2150.87</v>
      </c>
      <c r="G19" s="17" t="n">
        <v>4.8</v>
      </c>
      <c r="H19" s="105" t="n">
        <v>4661.95</v>
      </c>
      <c r="I19" s="17" t="n">
        <v>73.2</v>
      </c>
    </row>
    <row r="20" customFormat="false" ht="18" hidden="false" customHeight="true" outlineLevel="0" collapsed="false">
      <c r="A20" s="101" t="s">
        <v>192</v>
      </c>
      <c r="B20" s="102" t="s">
        <v>184</v>
      </c>
      <c r="C20" s="103" t="n">
        <v>10197.5</v>
      </c>
      <c r="D20" s="104"/>
      <c r="E20" s="104"/>
      <c r="F20" s="104"/>
      <c r="H20" s="104"/>
    </row>
    <row r="21" customFormat="false" ht="18" hidden="false" customHeight="true" outlineLevel="0" collapsed="false">
      <c r="A21" s="101"/>
      <c r="B21" s="10" t="s">
        <v>95</v>
      </c>
      <c r="C21" s="11" t="n">
        <v>2104.16</v>
      </c>
      <c r="D21" s="14" t="n">
        <v>965.49</v>
      </c>
      <c r="E21" s="15" t="n">
        <v>654.16</v>
      </c>
      <c r="F21" s="16" t="n">
        <v>378.82</v>
      </c>
      <c r="G21" s="17" t="n">
        <v>4.8</v>
      </c>
      <c r="H21" s="105" t="n">
        <v>1825.49</v>
      </c>
      <c r="I21" s="17" t="n">
        <v>73.2</v>
      </c>
      <c r="J21" s="17" t="n">
        <v>61.92</v>
      </c>
      <c r="K21" s="17" t="n">
        <v>33.99</v>
      </c>
    </row>
    <row r="22" customFormat="false" ht="18" hidden="false" customHeight="true" outlineLevel="0" collapsed="false">
      <c r="A22" s="101"/>
      <c r="B22" s="71" t="s">
        <v>94</v>
      </c>
      <c r="C22" s="72" t="n">
        <v>3785.56</v>
      </c>
      <c r="D22" s="14" t="n">
        <v>2158.02</v>
      </c>
      <c r="E22" s="15" t="n">
        <v>1765.12</v>
      </c>
      <c r="F22" s="16" t="n">
        <v>1408.21</v>
      </c>
      <c r="G22" s="17" t="n">
        <v>4.8</v>
      </c>
      <c r="H22" s="105" t="n">
        <v>3425.39</v>
      </c>
      <c r="I22" s="17" t="n">
        <v>73.2</v>
      </c>
      <c r="J22" s="17" t="n">
        <v>61.92</v>
      </c>
      <c r="K22" s="17" t="n">
        <v>33.99</v>
      </c>
    </row>
    <row r="23" customFormat="false" ht="18" hidden="false" customHeight="true" outlineLevel="0" collapsed="false">
      <c r="A23" s="101"/>
      <c r="B23" s="10" t="s">
        <v>8</v>
      </c>
      <c r="C23" s="11" t="n">
        <v>4308.12</v>
      </c>
      <c r="D23" s="14" t="n">
        <v>2483.1</v>
      </c>
      <c r="E23" s="15" t="n">
        <v>2080.23</v>
      </c>
      <c r="F23" s="16" t="n">
        <v>1711.56</v>
      </c>
      <c r="G23" s="17" t="n">
        <v>4.8</v>
      </c>
      <c r="H23" s="105" t="n">
        <v>3919.4</v>
      </c>
      <c r="I23" s="17" t="n">
        <v>73.2</v>
      </c>
    </row>
    <row r="24" customFormat="false" ht="14.25" hidden="false" customHeight="true" outlineLevel="0" collapsed="false">
      <c r="A24" s="106" t="s">
        <v>193</v>
      </c>
      <c r="B24" s="106"/>
      <c r="C24" s="106"/>
      <c r="D24" s="106"/>
      <c r="E24" s="106"/>
      <c r="F24" s="106"/>
      <c r="G24" s="106"/>
      <c r="H24" s="106"/>
      <c r="I24" s="106"/>
      <c r="J24" s="106"/>
      <c r="K24" s="106"/>
    </row>
    <row r="25" customFormat="false" ht="15" hidden="false" customHeight="true" outlineLevel="0" collapsed="false">
      <c r="A25" s="107"/>
      <c r="B25" s="107" t="s">
        <v>134</v>
      </c>
      <c r="C25" s="107" t="s">
        <v>132</v>
      </c>
      <c r="D25" s="107"/>
      <c r="E25" s="107"/>
      <c r="F25" s="107"/>
      <c r="G25" s="107"/>
      <c r="H25" s="107"/>
      <c r="I25" s="107"/>
      <c r="J25" s="107"/>
      <c r="K25" s="107"/>
    </row>
    <row r="26" customFormat="false" ht="15.75" hidden="false" customHeight="true" outlineLevel="0" collapsed="false">
      <c r="A26" s="17" t="s">
        <v>194</v>
      </c>
      <c r="B26" s="17" t="n">
        <v>37.02</v>
      </c>
      <c r="C26" s="17" t="n">
        <v>42.82</v>
      </c>
    </row>
    <row r="27" customFormat="false" ht="15.75" hidden="false" customHeight="true" outlineLevel="0" collapsed="false">
      <c r="A27" s="17" t="s">
        <v>195</v>
      </c>
      <c r="B27" s="17" t="n">
        <v>37.02</v>
      </c>
      <c r="C27" s="17" t="n">
        <v>42.82</v>
      </c>
    </row>
    <row r="28" customFormat="false" ht="15.75" hidden="false" customHeight="true" outlineLevel="0" collapsed="false">
      <c r="A28" s="17" t="s">
        <v>196</v>
      </c>
      <c r="B28" s="17" t="n">
        <v>37.02</v>
      </c>
      <c r="C28" s="17" t="n">
        <v>42.82</v>
      </c>
    </row>
    <row r="29" customFormat="false" ht="15.75" hidden="false" customHeight="true" outlineLevel="0" collapsed="false">
      <c r="A29" s="17" t="s">
        <v>197</v>
      </c>
      <c r="B29" s="17" t="n">
        <v>37.02</v>
      </c>
      <c r="C29" s="17" t="n">
        <v>42.82</v>
      </c>
    </row>
    <row r="30" customFormat="false" ht="15.75" hidden="false" customHeight="true" outlineLevel="0" collapsed="false">
      <c r="A30" s="17" t="s">
        <v>198</v>
      </c>
      <c r="B30" s="17" t="n">
        <v>37.02</v>
      </c>
      <c r="C30" s="17" t="n">
        <v>42.82</v>
      </c>
    </row>
    <row r="31" customFormat="false" ht="14.25" hidden="false" customHeight="true" outlineLevel="0" collapsed="false">
      <c r="A31" s="17" t="s">
        <v>199</v>
      </c>
      <c r="B31" s="17" t="n">
        <v>37.02</v>
      </c>
      <c r="C31" s="17" t="n">
        <v>42.82</v>
      </c>
    </row>
    <row r="32" customFormat="false" ht="15" hidden="false" customHeight="true" outlineLevel="0" collapsed="false">
      <c r="A32" s="17" t="s">
        <v>200</v>
      </c>
      <c r="B32" s="17" t="n">
        <v>37.02</v>
      </c>
      <c r="C32" s="17" t="n">
        <v>42.82</v>
      </c>
    </row>
    <row r="33" customFormat="false" ht="14.25" hidden="false" customHeight="true" outlineLevel="0" collapsed="false">
      <c r="A33" s="17" t="s">
        <v>201</v>
      </c>
      <c r="B33" s="17" t="n">
        <v>37.02</v>
      </c>
      <c r="C33" s="17" t="n">
        <v>42.82</v>
      </c>
    </row>
    <row r="34" customFormat="false" ht="14.25" hidden="false" customHeight="true" outlineLevel="0" collapsed="false">
      <c r="A34" s="17" t="s">
        <v>202</v>
      </c>
      <c r="B34" s="17" t="n">
        <v>37.02</v>
      </c>
      <c r="C34" s="17" t="n">
        <v>42.82</v>
      </c>
    </row>
    <row r="35" customFormat="false" ht="14.25" hidden="false" customHeight="true" outlineLevel="0" collapsed="false">
      <c r="A35" s="17" t="s">
        <v>203</v>
      </c>
      <c r="B35" s="17" t="n">
        <v>37.02</v>
      </c>
      <c r="C35" s="17" t="n">
        <v>42.82</v>
      </c>
    </row>
    <row r="36" customFormat="false" ht="14.25" hidden="false" customHeight="true" outlineLevel="0" collapsed="false">
      <c r="A36" s="17" t="s">
        <v>204</v>
      </c>
      <c r="B36" s="17" t="n">
        <v>37.02</v>
      </c>
      <c r="C36" s="17" t="n">
        <v>42.82</v>
      </c>
    </row>
    <row r="37" customFormat="false" ht="14.25" hidden="false" customHeight="true" outlineLevel="0" collapsed="false">
      <c r="A37" s="17" t="s">
        <v>205</v>
      </c>
      <c r="B37" s="17" t="n">
        <v>37.02</v>
      </c>
      <c r="C37" s="17" t="n">
        <v>42.82</v>
      </c>
    </row>
    <row r="38" customFormat="false" ht="14.25" hidden="false" customHeight="true" outlineLevel="0" collapsed="false">
      <c r="A38" s="17" t="s">
        <v>206</v>
      </c>
      <c r="B38" s="17" t="n">
        <v>30.98</v>
      </c>
      <c r="C38" s="17" t="n">
        <v>33.99</v>
      </c>
    </row>
    <row r="39" customFormat="false" ht="14.25" hidden="false" customHeight="true" outlineLevel="0" collapsed="false">
      <c r="A39" s="17" t="s">
        <v>207</v>
      </c>
      <c r="B39" s="17" t="n">
        <v>30.97</v>
      </c>
      <c r="C39" s="17" t="n">
        <v>34</v>
      </c>
    </row>
    <row r="45" customFormat="false" ht="14.25" hidden="false" customHeight="true" outlineLevel="0" collapsed="false">
      <c r="A45" s="108" t="s">
        <v>208</v>
      </c>
      <c r="B45" s="108"/>
      <c r="C45" s="108"/>
      <c r="D45" s="108"/>
      <c r="E45" s="108"/>
      <c r="F45" s="108"/>
    </row>
    <row r="46" customFormat="false" ht="14.25" hidden="false" customHeight="true" outlineLevel="0" collapsed="false">
      <c r="A46" s="109" t="s">
        <v>209</v>
      </c>
      <c r="B46" s="109"/>
      <c r="C46" s="110"/>
      <c r="D46" s="110"/>
      <c r="E46" s="110"/>
      <c r="F46" s="110"/>
    </row>
    <row r="47" customFormat="false" ht="14.25" hidden="false" customHeight="true" outlineLevel="0" collapsed="false">
      <c r="A47" s="111" t="s">
        <v>210</v>
      </c>
      <c r="B47" s="111"/>
      <c r="C47" s="110"/>
      <c r="D47" s="110"/>
      <c r="E47" s="110"/>
      <c r="F47" s="110"/>
    </row>
    <row r="48" customFormat="false" ht="18.75" hidden="false" customHeight="true" outlineLevel="0" collapsed="false">
      <c r="A48" s="112" t="s">
        <v>211</v>
      </c>
      <c r="B48" s="112"/>
      <c r="C48" s="110"/>
      <c r="D48" s="110"/>
      <c r="E48" s="110"/>
      <c r="F48" s="110"/>
    </row>
    <row r="49" customFormat="false" ht="18.75" hidden="false" customHeight="true" outlineLevel="0" collapsed="false">
      <c r="A49" s="113" t="s">
        <v>212</v>
      </c>
      <c r="B49" s="113"/>
      <c r="C49" s="110"/>
      <c r="D49" s="110"/>
      <c r="E49" s="110"/>
      <c r="F49" s="110"/>
    </row>
    <row r="50" customFormat="false" ht="14.25" hidden="false" customHeight="true" outlineLevel="0" collapsed="false">
      <c r="A50" s="114" t="s">
        <v>213</v>
      </c>
      <c r="B50" s="114"/>
      <c r="C50" s="110"/>
      <c r="D50" s="110"/>
      <c r="E50" s="110"/>
      <c r="F50" s="110"/>
    </row>
    <row r="52" customFormat="false" ht="14.25" hidden="false" customHeight="true" outlineLevel="0" collapsed="false">
      <c r="A52" s="115" t="s">
        <v>214</v>
      </c>
      <c r="B52" s="115"/>
      <c r="C52" s="115"/>
      <c r="D52" s="115"/>
      <c r="E52" s="115"/>
      <c r="F52" s="115"/>
    </row>
  </sheetData>
  <mergeCells count="17">
    <mergeCell ref="A1:F1"/>
    <mergeCell ref="A2:F2"/>
    <mergeCell ref="G2:L2"/>
    <mergeCell ref="A4:A6"/>
    <mergeCell ref="A7:A9"/>
    <mergeCell ref="A10:A12"/>
    <mergeCell ref="A13:A15"/>
    <mergeCell ref="A16:A19"/>
    <mergeCell ref="A20:A23"/>
    <mergeCell ref="A24:K24"/>
    <mergeCell ref="A45:F45"/>
    <mergeCell ref="A46:B46"/>
    <mergeCell ref="A47:B47"/>
    <mergeCell ref="A48:B48"/>
    <mergeCell ref="A49:B49"/>
    <mergeCell ref="A50:B50"/>
    <mergeCell ref="A52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2026-06-25T06:25:50Z</dcterms:created>
  <dc:creator>Anvi Tiwari</dc:creator>
  <dc:description/>
  <dc:language>en-US</dc:language>
  <cp:lastModifiedBy>DHARSHAN MANIVEL PANDIAN</cp:lastModifiedBy>
  <dcterms:modified xsi:type="dcterms:W3CDTF">2026-07-09T17:48:17Z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
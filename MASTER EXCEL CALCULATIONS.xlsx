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bPA_INTERNSHIP_2026\CGO COMPLEX\FEASIBLITY_CALCULATOR\"/>
    </mc:Choice>
  </mc:AlternateContent>
  <xr:revisionPtr revIDLastSave="0" documentId="8_{05CC2F86-C154-4B4F-9317-D729EDADA848}" xr6:coauthVersionLast="47" xr6:coauthVersionMax="47" xr10:uidLastSave="{00000000-0000-0000-0000-000000000000}"/>
  <bookViews>
    <workbookView xWindow="-108" yWindow="-108" windowWidth="23256" windowHeight="13896" tabRatio="855" xr2:uid="{00000000-000D-0000-FFFF-FFFF00000000}"/>
  </bookViews>
  <sheets>
    <sheet name="157.5.6" sheetId="4" r:id="rId1"/>
    <sheet name="157.3.4" sheetId="5" r:id="rId2"/>
    <sheet name="157.1.2" sheetId="6" r:id="rId3"/>
    <sheet name="160.3.4" sheetId="7" r:id="rId4"/>
    <sheet name="160.1.2" sheetId="8" r:id="rId5"/>
    <sheet name="159.3.4" sheetId="9" r:id="rId6"/>
    <sheet name="159.1.2" sheetId="10" r:id="rId7"/>
    <sheet name="158.5.6" sheetId="11" r:id="rId8"/>
    <sheet name="158.2.4" sheetId="12" r:id="rId9"/>
    <sheet name="158.1.3" sheetId="13" r:id="rId10"/>
    <sheet name="146.3.4" sheetId="14" r:id="rId11"/>
    <sheet name="146.1.2" sheetId="15" r:id="rId12"/>
    <sheet name="145.3.4" sheetId="16" r:id="rId13"/>
    <sheet name="145.1.2" sheetId="17" r:id="rId14"/>
    <sheet name="CGO_PLOT_DIMENSIONS" sheetId="1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7" i="4" l="1"/>
  <c r="C22" i="4" s="1"/>
  <c r="C7" i="5"/>
  <c r="C7" i="12"/>
  <c r="C22" i="12" s="1"/>
  <c r="M82" i="6"/>
  <c r="M82" i="7"/>
  <c r="M82" i="8"/>
  <c r="M82" i="9"/>
  <c r="M82" i="10"/>
  <c r="M82" i="11"/>
  <c r="M82" i="13"/>
  <c r="M82" i="14"/>
  <c r="M82" i="15"/>
  <c r="M82" i="16"/>
  <c r="M82" i="17"/>
  <c r="M81" i="6"/>
  <c r="M81" i="7"/>
  <c r="M81" i="8"/>
  <c r="M81" i="9"/>
  <c r="M81" i="10"/>
  <c r="M81" i="11"/>
  <c r="M81" i="13"/>
  <c r="M81" i="14"/>
  <c r="M81" i="15"/>
  <c r="M81" i="16"/>
  <c r="M81" i="17"/>
  <c r="M80" i="6"/>
  <c r="M80" i="7"/>
  <c r="M80" i="8"/>
  <c r="M80" i="9"/>
  <c r="M80" i="10"/>
  <c r="M80" i="11"/>
  <c r="M80" i="13"/>
  <c r="M80" i="14"/>
  <c r="M80" i="15"/>
  <c r="M80" i="16"/>
  <c r="M80" i="17"/>
  <c r="O78" i="6"/>
  <c r="O78" i="7"/>
  <c r="O78" i="8"/>
  <c r="O78" i="9"/>
  <c r="O78" i="10"/>
  <c r="O78" i="11"/>
  <c r="O78" i="13"/>
  <c r="O78" i="14"/>
  <c r="O78" i="15"/>
  <c r="O78" i="16"/>
  <c r="O78" i="17"/>
  <c r="O76" i="6"/>
  <c r="O77" i="6"/>
  <c r="O76" i="7"/>
  <c r="O77" i="7"/>
  <c r="O76" i="8"/>
  <c r="O77" i="8"/>
  <c r="O76" i="9"/>
  <c r="O77" i="9"/>
  <c r="O76" i="10"/>
  <c r="O77" i="10"/>
  <c r="O76" i="11"/>
  <c r="O77" i="11"/>
  <c r="O76" i="13"/>
  <c r="O77" i="13"/>
  <c r="O76" i="14"/>
  <c r="O77" i="14"/>
  <c r="O76" i="15"/>
  <c r="O77" i="15"/>
  <c r="O76" i="16"/>
  <c r="O77" i="16"/>
  <c r="O76" i="17"/>
  <c r="O77" i="17"/>
  <c r="O75" i="6"/>
  <c r="O75" i="7"/>
  <c r="O75" i="8"/>
  <c r="O75" i="9"/>
  <c r="O75" i="10"/>
  <c r="O75" i="11"/>
  <c r="O75" i="13"/>
  <c r="O75" i="14"/>
  <c r="O75" i="15"/>
  <c r="O75" i="16"/>
  <c r="O75" i="17"/>
  <c r="N78" i="6"/>
  <c r="N78" i="7"/>
  <c r="N78" i="8"/>
  <c r="N78" i="9"/>
  <c r="N78" i="10"/>
  <c r="N78" i="11"/>
  <c r="N78" i="13"/>
  <c r="N78" i="14"/>
  <c r="N78" i="15"/>
  <c r="N78" i="16"/>
  <c r="N78" i="17"/>
  <c r="N77" i="6"/>
  <c r="N77" i="7"/>
  <c r="N77" i="8"/>
  <c r="N77" i="9"/>
  <c r="N77" i="10"/>
  <c r="N77" i="11"/>
  <c r="N77" i="13"/>
  <c r="N77" i="14"/>
  <c r="N77" i="15"/>
  <c r="N77" i="16"/>
  <c r="N77" i="17"/>
  <c r="N76" i="6"/>
  <c r="N76" i="7"/>
  <c r="N76" i="8"/>
  <c r="N76" i="9"/>
  <c r="N76" i="10"/>
  <c r="N76" i="11"/>
  <c r="N76" i="13"/>
  <c r="N76" i="14"/>
  <c r="N76" i="15"/>
  <c r="N76" i="16"/>
  <c r="N76" i="17"/>
  <c r="N75" i="6"/>
  <c r="N75" i="7"/>
  <c r="N75" i="8"/>
  <c r="N75" i="9"/>
  <c r="N75" i="10"/>
  <c r="N75" i="11"/>
  <c r="N75" i="13"/>
  <c r="N75" i="14"/>
  <c r="N75" i="15"/>
  <c r="N75" i="16"/>
  <c r="N75" i="17"/>
  <c r="M76" i="6"/>
  <c r="M77" i="6"/>
  <c r="M76" i="7"/>
  <c r="M77" i="7"/>
  <c r="M76" i="8"/>
  <c r="M77" i="8"/>
  <c r="M76" i="9"/>
  <c r="M77" i="9"/>
  <c r="M76" i="10"/>
  <c r="M77" i="10"/>
  <c r="M76" i="11"/>
  <c r="M77" i="11"/>
  <c r="M76" i="13"/>
  <c r="M77" i="13"/>
  <c r="M76" i="14"/>
  <c r="M77" i="14"/>
  <c r="M76" i="15"/>
  <c r="M77" i="15"/>
  <c r="M76" i="16"/>
  <c r="M77" i="16"/>
  <c r="M76" i="17"/>
  <c r="M77" i="17"/>
  <c r="M75" i="6"/>
  <c r="M75" i="7"/>
  <c r="M75" i="8"/>
  <c r="M75" i="9"/>
  <c r="M75" i="10"/>
  <c r="M75" i="11"/>
  <c r="M75" i="13"/>
  <c r="M75" i="14"/>
  <c r="M75" i="15"/>
  <c r="M75" i="16"/>
  <c r="M75" i="17"/>
  <c r="L77" i="6"/>
  <c r="L77" i="7"/>
  <c r="L77" i="8"/>
  <c r="L77" i="9"/>
  <c r="L77" i="10"/>
  <c r="L77" i="11"/>
  <c r="L77" i="13"/>
  <c r="L77" i="14"/>
  <c r="L77" i="15"/>
  <c r="L77" i="16"/>
  <c r="L77" i="17"/>
  <c r="L76" i="6"/>
  <c r="L76" i="7"/>
  <c r="L76" i="8"/>
  <c r="L76" i="9"/>
  <c r="L76" i="10"/>
  <c r="L76" i="11"/>
  <c r="L76" i="13"/>
  <c r="L76" i="14"/>
  <c r="L76" i="15"/>
  <c r="L76" i="16"/>
  <c r="L76" i="17"/>
  <c r="L75" i="6"/>
  <c r="L75" i="7"/>
  <c r="L75" i="8"/>
  <c r="L75" i="9"/>
  <c r="L75" i="10"/>
  <c r="L75" i="11"/>
  <c r="L75" i="13"/>
  <c r="L75" i="14"/>
  <c r="L75" i="15"/>
  <c r="L75" i="16"/>
  <c r="L75" i="17"/>
  <c r="F51" i="6"/>
  <c r="F51" i="7"/>
  <c r="F51" i="8"/>
  <c r="F51" i="9"/>
  <c r="F51" i="10"/>
  <c r="F51" i="11"/>
  <c r="F51" i="13"/>
  <c r="F51" i="14"/>
  <c r="F51" i="15"/>
  <c r="F51" i="16"/>
  <c r="F51" i="17"/>
  <c r="F50" i="6"/>
  <c r="F50" i="7"/>
  <c r="F50" i="8"/>
  <c r="F50" i="9"/>
  <c r="F50" i="10"/>
  <c r="F50" i="11"/>
  <c r="F50" i="13"/>
  <c r="F50" i="14"/>
  <c r="F50" i="15"/>
  <c r="F50" i="16"/>
  <c r="F50" i="17"/>
  <c r="K75" i="6"/>
  <c r="K75" i="7"/>
  <c r="K75" i="8"/>
  <c r="K75" i="9"/>
  <c r="K75" i="10"/>
  <c r="K75" i="11"/>
  <c r="K75" i="13"/>
  <c r="K75" i="14"/>
  <c r="K75" i="15"/>
  <c r="K75" i="16"/>
  <c r="K75" i="17"/>
  <c r="J75" i="6"/>
  <c r="J75" i="7"/>
  <c r="J75" i="8"/>
  <c r="J75" i="9"/>
  <c r="J75" i="10"/>
  <c r="J75" i="11"/>
  <c r="J75" i="13"/>
  <c r="J75" i="14"/>
  <c r="J75" i="15"/>
  <c r="J75" i="16"/>
  <c r="J75" i="17"/>
  <c r="H75" i="6"/>
  <c r="H75" i="7"/>
  <c r="H75" i="8"/>
  <c r="H75" i="9"/>
  <c r="H75" i="10"/>
  <c r="H75" i="11"/>
  <c r="H75" i="13"/>
  <c r="H75" i="14"/>
  <c r="H75" i="15"/>
  <c r="H75" i="16"/>
  <c r="H75" i="17"/>
  <c r="G75" i="6"/>
  <c r="G75" i="7"/>
  <c r="G75" i="8"/>
  <c r="G75" i="9"/>
  <c r="G75" i="10"/>
  <c r="G75" i="11"/>
  <c r="G75" i="13"/>
  <c r="G75" i="14"/>
  <c r="G75" i="15"/>
  <c r="G75" i="16"/>
  <c r="G75" i="17"/>
  <c r="G49" i="6"/>
  <c r="G49" i="7"/>
  <c r="G49" i="8"/>
  <c r="G49" i="9"/>
  <c r="G49" i="10"/>
  <c r="G49" i="11"/>
  <c r="G49" i="13"/>
  <c r="G49" i="14"/>
  <c r="G49" i="15"/>
  <c r="G49" i="16"/>
  <c r="G49" i="17"/>
  <c r="F75" i="6"/>
  <c r="F75" i="7"/>
  <c r="F75" i="8"/>
  <c r="F75" i="9"/>
  <c r="F75" i="10"/>
  <c r="F75" i="11"/>
  <c r="F75" i="13"/>
  <c r="F75" i="14"/>
  <c r="F75" i="15"/>
  <c r="F75" i="16"/>
  <c r="F75" i="17"/>
  <c r="C77" i="5"/>
  <c r="C77" i="6"/>
  <c r="C77" i="7"/>
  <c r="C77" i="8"/>
  <c r="C77" i="9"/>
  <c r="C77" i="10"/>
  <c r="C77" i="11"/>
  <c r="C77" i="12"/>
  <c r="C77" i="13"/>
  <c r="C77" i="14"/>
  <c r="C77" i="15"/>
  <c r="C77" i="16"/>
  <c r="C77" i="17"/>
  <c r="C77" i="4"/>
  <c r="C76" i="5"/>
  <c r="C76" i="6"/>
  <c r="C76" i="7"/>
  <c r="C76" i="8"/>
  <c r="C76" i="9"/>
  <c r="C76" i="10"/>
  <c r="C76" i="11"/>
  <c r="C76" i="12"/>
  <c r="C76" i="13"/>
  <c r="C76" i="14"/>
  <c r="C76" i="15"/>
  <c r="C76" i="16"/>
  <c r="C76" i="17"/>
  <c r="C76" i="4"/>
  <c r="C75" i="5"/>
  <c r="C75" i="6"/>
  <c r="C75" i="7"/>
  <c r="C75" i="8"/>
  <c r="C75" i="9"/>
  <c r="C75" i="10"/>
  <c r="C75" i="11"/>
  <c r="C75" i="12"/>
  <c r="C75" i="13"/>
  <c r="C75" i="14"/>
  <c r="C75" i="15"/>
  <c r="C75" i="16"/>
  <c r="C75" i="17"/>
  <c r="C75" i="4"/>
  <c r="D77" i="5"/>
  <c r="E76" i="5"/>
  <c r="E75" i="5"/>
  <c r="D77" i="6"/>
  <c r="E76" i="6"/>
  <c r="E75" i="6"/>
  <c r="D77" i="7"/>
  <c r="E76" i="7"/>
  <c r="E75" i="7"/>
  <c r="D77" i="8"/>
  <c r="E76" i="8"/>
  <c r="E75" i="8"/>
  <c r="D77" i="9"/>
  <c r="E76" i="9"/>
  <c r="E75" i="9"/>
  <c r="D77" i="10"/>
  <c r="E76" i="10"/>
  <c r="E75" i="10"/>
  <c r="D77" i="11"/>
  <c r="E76" i="11"/>
  <c r="E75" i="11"/>
  <c r="D77" i="12"/>
  <c r="E76" i="12"/>
  <c r="E75" i="12"/>
  <c r="D77" i="13"/>
  <c r="E76" i="13"/>
  <c r="E75" i="13"/>
  <c r="D77" i="14"/>
  <c r="E76" i="14"/>
  <c r="E75" i="14"/>
  <c r="E77" i="15"/>
  <c r="D77" i="15"/>
  <c r="E76" i="15"/>
  <c r="E75" i="15"/>
  <c r="D77" i="16"/>
  <c r="E76" i="16"/>
  <c r="E75" i="16"/>
  <c r="D77" i="17"/>
  <c r="E76" i="17"/>
  <c r="E75" i="17"/>
  <c r="D77" i="4"/>
  <c r="E76" i="4"/>
  <c r="E75" i="4"/>
  <c r="C56" i="17"/>
  <c r="D51" i="17"/>
  <c r="E50" i="17"/>
  <c r="E49" i="17"/>
  <c r="C29" i="17"/>
  <c r="C10" i="17"/>
  <c r="C9" i="17"/>
  <c r="C8" i="17"/>
  <c r="C7" i="17"/>
  <c r="C6" i="17"/>
  <c r="E50" i="16"/>
  <c r="E49" i="16"/>
  <c r="C29" i="16"/>
  <c r="C15" i="16"/>
  <c r="C11" i="16"/>
  <c r="C10" i="16"/>
  <c r="C9" i="16"/>
  <c r="C8" i="16"/>
  <c r="C7" i="16"/>
  <c r="C6" i="16"/>
  <c r="C56" i="15"/>
  <c r="D51" i="15"/>
  <c r="C51" i="15"/>
  <c r="E50" i="15"/>
  <c r="C50" i="15"/>
  <c r="E49" i="15"/>
  <c r="C49" i="15"/>
  <c r="C29" i="15"/>
  <c r="C15" i="15"/>
  <c r="C11" i="15"/>
  <c r="C56" i="13"/>
  <c r="D51" i="13"/>
  <c r="C51" i="13"/>
  <c r="E50" i="13"/>
  <c r="C50" i="13"/>
  <c r="E49" i="13"/>
  <c r="C49" i="13"/>
  <c r="C29" i="13"/>
  <c r="C22" i="13"/>
  <c r="C15" i="13"/>
  <c r="C51" i="12"/>
  <c r="E50" i="12"/>
  <c r="C50" i="12"/>
  <c r="E49" i="12"/>
  <c r="C49" i="12"/>
  <c r="C29" i="12"/>
  <c r="C15" i="12"/>
  <c r="C56" i="11"/>
  <c r="D51" i="11"/>
  <c r="E50" i="11"/>
  <c r="E49" i="11"/>
  <c r="C29" i="11"/>
  <c r="C10" i="11"/>
  <c r="C9" i="11"/>
  <c r="C8" i="11"/>
  <c r="C7" i="11"/>
  <c r="C6" i="11"/>
  <c r="C56" i="10"/>
  <c r="D51" i="10"/>
  <c r="C51" i="10"/>
  <c r="E50" i="10"/>
  <c r="C50" i="10"/>
  <c r="E49" i="10"/>
  <c r="C49" i="10"/>
  <c r="C29" i="10"/>
  <c r="C22" i="10"/>
  <c r="C15" i="10"/>
  <c r="C51" i="9"/>
  <c r="E50" i="9"/>
  <c r="C50" i="9"/>
  <c r="E49" i="9"/>
  <c r="C49" i="9"/>
  <c r="C32" i="9"/>
  <c r="C29" i="9"/>
  <c r="C23" i="9"/>
  <c r="C22" i="9"/>
  <c r="C15" i="9"/>
  <c r="C51" i="8"/>
  <c r="E50" i="8"/>
  <c r="C50" i="8"/>
  <c r="E49" i="8"/>
  <c r="C49" i="8"/>
  <c r="C29" i="8"/>
  <c r="C22" i="8"/>
  <c r="C15" i="8"/>
  <c r="C51" i="7"/>
  <c r="E50" i="7"/>
  <c r="C50" i="7"/>
  <c r="E49" i="7"/>
  <c r="C49" i="7"/>
  <c r="C29" i="7"/>
  <c r="C22" i="7"/>
  <c r="C15" i="7"/>
  <c r="C51" i="6"/>
  <c r="E50" i="6"/>
  <c r="C50" i="6"/>
  <c r="E49" i="6"/>
  <c r="C49" i="6"/>
  <c r="C29" i="6"/>
  <c r="C22" i="6"/>
  <c r="C15" i="6"/>
  <c r="C51" i="5"/>
  <c r="E50" i="5"/>
  <c r="C50" i="5"/>
  <c r="E49" i="5"/>
  <c r="C49" i="5"/>
  <c r="C29" i="5"/>
  <c r="C22" i="5"/>
  <c r="C15" i="5"/>
  <c r="C51" i="4"/>
  <c r="E50" i="4"/>
  <c r="C50" i="4"/>
  <c r="E49" i="4"/>
  <c r="C49" i="4"/>
  <c r="C29" i="4"/>
  <c r="C15" i="4"/>
  <c r="C51" i="14"/>
  <c r="E50" i="14"/>
  <c r="C50" i="14"/>
  <c r="E49" i="14"/>
  <c r="C49" i="14"/>
  <c r="C32" i="14"/>
  <c r="C29" i="14"/>
  <c r="C15" i="14"/>
  <c r="C11" i="14"/>
  <c r="F76" i="6" l="1"/>
  <c r="F76" i="7"/>
  <c r="F76" i="8"/>
  <c r="F76" i="9"/>
  <c r="F76" i="10"/>
  <c r="F76" i="11"/>
  <c r="F76" i="13"/>
  <c r="F76" i="14"/>
  <c r="F76" i="15"/>
  <c r="F76" i="16"/>
  <c r="F76" i="17"/>
  <c r="E77" i="5"/>
  <c r="E77" i="6"/>
  <c r="E77" i="7"/>
  <c r="E77" i="11"/>
  <c r="E77" i="12"/>
  <c r="E77" i="13"/>
  <c r="E77" i="14"/>
  <c r="E77" i="8"/>
  <c r="E77" i="9"/>
  <c r="E77" i="17"/>
  <c r="E77" i="10"/>
  <c r="E77" i="16"/>
  <c r="E77" i="4"/>
  <c r="C32" i="15"/>
  <c r="C22" i="15"/>
  <c r="E51" i="13"/>
  <c r="C32" i="13"/>
  <c r="C49" i="16"/>
  <c r="E51" i="15"/>
  <c r="C23" i="13"/>
  <c r="C24" i="13" s="1"/>
  <c r="C56" i="12"/>
  <c r="D51" i="12"/>
  <c r="C32" i="12"/>
  <c r="C23" i="12"/>
  <c r="C43" i="9"/>
  <c r="C36" i="9"/>
  <c r="C24" i="9"/>
  <c r="C32" i="8"/>
  <c r="C23" i="8"/>
  <c r="C23" i="7"/>
  <c r="D51" i="6"/>
  <c r="C23" i="6"/>
  <c r="C32" i="5"/>
  <c r="C23" i="5"/>
  <c r="D51" i="4"/>
  <c r="C23" i="4"/>
  <c r="E51" i="11"/>
  <c r="C51" i="11"/>
  <c r="C50" i="11"/>
  <c r="C49" i="11"/>
  <c r="C32" i="11"/>
  <c r="C22" i="11"/>
  <c r="E51" i="10"/>
  <c r="D51" i="9"/>
  <c r="C56" i="7"/>
  <c r="D51" i="7"/>
  <c r="C32" i="7"/>
  <c r="C32" i="6"/>
  <c r="C56" i="5"/>
  <c r="D51" i="5"/>
  <c r="C24" i="5"/>
  <c r="C56" i="4"/>
  <c r="C32" i="10"/>
  <c r="C23" i="10"/>
  <c r="C56" i="9"/>
  <c r="C56" i="8"/>
  <c r="D51" i="8"/>
  <c r="C56" i="6"/>
  <c r="C32" i="4"/>
  <c r="C56" i="14"/>
  <c r="C51" i="16"/>
  <c r="D51" i="14"/>
  <c r="C43" i="14"/>
  <c r="C36" i="14"/>
  <c r="C22" i="14"/>
  <c r="C51" i="17"/>
  <c r="C50" i="17"/>
  <c r="C49" i="17"/>
  <c r="C32" i="17"/>
  <c r="C22" i="17"/>
  <c r="C56" i="16"/>
  <c r="C32" i="16"/>
  <c r="E51" i="17"/>
  <c r="D51" i="16"/>
  <c r="C50" i="16"/>
  <c r="C22" i="16"/>
  <c r="I75" i="11" l="1"/>
  <c r="C36" i="15"/>
  <c r="C43" i="15"/>
  <c r="C23" i="15"/>
  <c r="C24" i="15"/>
  <c r="C36" i="13"/>
  <c r="C43" i="13"/>
  <c r="C37" i="13"/>
  <c r="C38" i="13"/>
  <c r="C68" i="13"/>
  <c r="E51" i="12"/>
  <c r="C36" i="12"/>
  <c r="C43" i="12"/>
  <c r="C38" i="9"/>
  <c r="C39" i="9" s="1"/>
  <c r="C68" i="9"/>
  <c r="C37" i="9"/>
  <c r="C43" i="8"/>
  <c r="C36" i="8"/>
  <c r="E51" i="6"/>
  <c r="C36" i="5"/>
  <c r="C43" i="5"/>
  <c r="E51" i="4"/>
  <c r="C36" i="11"/>
  <c r="C43" i="11"/>
  <c r="C23" i="11"/>
  <c r="C24" i="11"/>
  <c r="E51" i="9"/>
  <c r="E51" i="7"/>
  <c r="C36" i="7"/>
  <c r="C43" i="7"/>
  <c r="C43" i="6"/>
  <c r="C36" i="6"/>
  <c r="E51" i="5"/>
  <c r="C37" i="5"/>
  <c r="C38" i="5"/>
  <c r="C68" i="5"/>
  <c r="C36" i="10"/>
  <c r="C43" i="10"/>
  <c r="E51" i="8"/>
  <c r="C43" i="4"/>
  <c r="C36" i="4"/>
  <c r="E51" i="14"/>
  <c r="C23" i="14"/>
  <c r="C24" i="14"/>
  <c r="C36" i="17"/>
  <c r="C43" i="17"/>
  <c r="C23" i="17"/>
  <c r="C24" i="17"/>
  <c r="C43" i="16"/>
  <c r="C36" i="16"/>
  <c r="E51" i="16"/>
  <c r="C23" i="16"/>
  <c r="C24" i="12"/>
  <c r="C24" i="4"/>
  <c r="C24" i="7"/>
  <c r="C24" i="10"/>
  <c r="C24" i="8"/>
  <c r="C24" i="6"/>
  <c r="I75" i="10" l="1"/>
  <c r="I75" i="6"/>
  <c r="I75" i="7"/>
  <c r="I75" i="16"/>
  <c r="I75" i="8"/>
  <c r="I75" i="9"/>
  <c r="I75" i="13"/>
  <c r="I75" i="14"/>
  <c r="I75" i="15"/>
  <c r="I75" i="17"/>
  <c r="C37" i="15"/>
  <c r="C38" i="15"/>
  <c r="C39" i="15" s="1"/>
  <c r="C68" i="15"/>
  <c r="C40" i="9"/>
  <c r="C37" i="11"/>
  <c r="C38" i="11"/>
  <c r="C39" i="11" s="1"/>
  <c r="C68" i="11"/>
  <c r="C37" i="14"/>
  <c r="C38" i="14"/>
  <c r="C39" i="14" s="1"/>
  <c r="C68" i="14"/>
  <c r="C38" i="17"/>
  <c r="C39" i="17" s="1"/>
  <c r="C68" i="17"/>
  <c r="C37" i="17"/>
  <c r="C68" i="12"/>
  <c r="C38" i="12"/>
  <c r="C39" i="12" s="1"/>
  <c r="C37" i="12"/>
  <c r="C68" i="4"/>
  <c r="C38" i="4"/>
  <c r="C39" i="4" s="1"/>
  <c r="C37" i="4"/>
  <c r="C68" i="7"/>
  <c r="C37" i="7"/>
  <c r="C38" i="7"/>
  <c r="C39" i="7" s="1"/>
  <c r="C68" i="10"/>
  <c r="C38" i="10"/>
  <c r="C39" i="10" s="1"/>
  <c r="C37" i="10"/>
  <c r="C37" i="8"/>
  <c r="C68" i="8"/>
  <c r="C38" i="8"/>
  <c r="C39" i="8" s="1"/>
  <c r="C37" i="6"/>
  <c r="C68" i="6"/>
  <c r="C38" i="6"/>
  <c r="C39" i="6" s="1"/>
  <c r="C24" i="16"/>
  <c r="C39" i="13"/>
  <c r="C39" i="5"/>
  <c r="C40" i="15" l="1"/>
  <c r="C40" i="11"/>
  <c r="C40" i="14"/>
  <c r="C41" i="14"/>
  <c r="C42" i="14" s="1"/>
  <c r="C44" i="14" s="1"/>
  <c r="C40" i="17"/>
  <c r="C41" i="17"/>
  <c r="C42" i="17" s="1"/>
  <c r="C44" i="17" s="1"/>
  <c r="C40" i="12"/>
  <c r="C41" i="12" s="1"/>
  <c r="C42" i="12" s="1"/>
  <c r="C44" i="12" s="1"/>
  <c r="C40" i="4"/>
  <c r="C40" i="7"/>
  <c r="C40" i="10"/>
  <c r="C40" i="8"/>
  <c r="C40" i="6"/>
  <c r="C68" i="16"/>
  <c r="C37" i="16"/>
  <c r="C38" i="16"/>
  <c r="C39" i="16" s="1"/>
  <c r="C40" i="13"/>
  <c r="C40" i="5"/>
  <c r="C41" i="9"/>
  <c r="C42" i="9" s="1"/>
  <c r="C44" i="9" s="1"/>
  <c r="M78" i="17" l="1"/>
  <c r="L78" i="11"/>
  <c r="M78" i="11"/>
  <c r="L78" i="17"/>
  <c r="F49" i="14"/>
  <c r="C45" i="14"/>
  <c r="C45" i="17"/>
  <c r="F49" i="17"/>
  <c r="C45" i="12"/>
  <c r="F50" i="12" s="1"/>
  <c r="F76" i="12" s="1"/>
  <c r="F49" i="12"/>
  <c r="C40" i="16"/>
  <c r="C41" i="16"/>
  <c r="C42" i="16" s="1"/>
  <c r="C44" i="16" s="1"/>
  <c r="F49" i="9"/>
  <c r="C45" i="9"/>
  <c r="C41" i="11"/>
  <c r="C42" i="11" s="1"/>
  <c r="C44" i="11" s="1"/>
  <c r="C41" i="4"/>
  <c r="C42" i="4" s="1"/>
  <c r="C44" i="4" s="1"/>
  <c r="C41" i="8"/>
  <c r="C42" i="8" s="1"/>
  <c r="C44" i="8" s="1"/>
  <c r="C41" i="6"/>
  <c r="C42" i="6" s="1"/>
  <c r="C44" i="6" s="1"/>
  <c r="C41" i="13"/>
  <c r="C42" i="13" s="1"/>
  <c r="C44" i="13" s="1"/>
  <c r="C41" i="5"/>
  <c r="C42" i="5" s="1"/>
  <c r="C44" i="5" s="1"/>
  <c r="C41" i="15"/>
  <c r="C42" i="15" s="1"/>
  <c r="C44" i="15" s="1"/>
  <c r="C41" i="7"/>
  <c r="C42" i="7" s="1"/>
  <c r="C44" i="7" s="1"/>
  <c r="C41" i="10"/>
  <c r="C42" i="10" s="1"/>
  <c r="C44" i="10" s="1"/>
  <c r="G49" i="12" l="1"/>
  <c r="F75" i="12"/>
  <c r="L78" i="16"/>
  <c r="L78" i="8"/>
  <c r="L78" i="13"/>
  <c r="L78" i="14"/>
  <c r="L78" i="15"/>
  <c r="L78" i="7"/>
  <c r="L78" i="9"/>
  <c r="L78" i="10"/>
  <c r="M78" i="16"/>
  <c r="L78" i="6"/>
  <c r="M78" i="9"/>
  <c r="M78" i="7"/>
  <c r="M78" i="10"/>
  <c r="M78" i="8"/>
  <c r="M78" i="13"/>
  <c r="M78" i="14"/>
  <c r="M78" i="15"/>
  <c r="M78" i="6"/>
  <c r="H49" i="14"/>
  <c r="C58" i="14"/>
  <c r="C59" i="14" s="1"/>
  <c r="C60" i="14" s="1"/>
  <c r="C64" i="14" s="1"/>
  <c r="C65" i="14" s="1"/>
  <c r="C58" i="17"/>
  <c r="C59" i="17" s="1"/>
  <c r="C60" i="17" s="1"/>
  <c r="C64" i="17" s="1"/>
  <c r="C65" i="17" s="1"/>
  <c r="H49" i="17"/>
  <c r="C58" i="12"/>
  <c r="C59" i="12" s="1"/>
  <c r="C60" i="12" s="1"/>
  <c r="C64" i="12" s="1"/>
  <c r="C65" i="12" s="1"/>
  <c r="H49" i="12"/>
  <c r="H75" i="12" s="1"/>
  <c r="F49" i="16"/>
  <c r="C45" i="16"/>
  <c r="H49" i="9"/>
  <c r="C58" i="9"/>
  <c r="C59" i="9" s="1"/>
  <c r="C60" i="9" s="1"/>
  <c r="C64" i="9" s="1"/>
  <c r="C65" i="9" s="1"/>
  <c r="F49" i="11"/>
  <c r="C45" i="11"/>
  <c r="F49" i="4"/>
  <c r="C45" i="4"/>
  <c r="F50" i="4" s="1"/>
  <c r="F76" i="4" s="1"/>
  <c r="C45" i="8"/>
  <c r="F49" i="8"/>
  <c r="C45" i="6"/>
  <c r="F49" i="6"/>
  <c r="F49" i="13"/>
  <c r="C45" i="13"/>
  <c r="C45" i="5"/>
  <c r="F50" i="5" s="1"/>
  <c r="F76" i="5" s="1"/>
  <c r="F49" i="5"/>
  <c r="F49" i="15"/>
  <c r="C45" i="15"/>
  <c r="F49" i="7"/>
  <c r="C45" i="7"/>
  <c r="F49" i="10"/>
  <c r="C45" i="10"/>
  <c r="F75" i="4" l="1"/>
  <c r="G49" i="4"/>
  <c r="G49" i="5"/>
  <c r="F75" i="5"/>
  <c r="G75" i="12"/>
  <c r="I75" i="12"/>
  <c r="J75" i="12" s="1"/>
  <c r="K75" i="12" s="1"/>
  <c r="L75" i="12" s="1"/>
  <c r="I49" i="14"/>
  <c r="J49" i="14" s="1"/>
  <c r="G50" i="14"/>
  <c r="G76" i="14" s="1"/>
  <c r="H50" i="14"/>
  <c r="G50" i="17"/>
  <c r="G76" i="17" s="1"/>
  <c r="H50" i="17"/>
  <c r="F77" i="17"/>
  <c r="F78" i="17" s="1"/>
  <c r="I49" i="17"/>
  <c r="J49" i="17" s="1"/>
  <c r="G50" i="12"/>
  <c r="H50" i="12"/>
  <c r="I49" i="12"/>
  <c r="J49" i="12" s="1"/>
  <c r="H49" i="16"/>
  <c r="C58" i="16"/>
  <c r="C59" i="16" s="1"/>
  <c r="C60" i="16" s="1"/>
  <c r="C64" i="16" s="1"/>
  <c r="C65" i="16" s="1"/>
  <c r="I49" i="9"/>
  <c r="J49" i="9" s="1"/>
  <c r="G50" i="9"/>
  <c r="G76" i="9" s="1"/>
  <c r="H50" i="9"/>
  <c r="H49" i="11"/>
  <c r="C58" i="11"/>
  <c r="C59" i="11" s="1"/>
  <c r="C60" i="11" s="1"/>
  <c r="C64" i="11" s="1"/>
  <c r="C65" i="11" s="1"/>
  <c r="H49" i="4"/>
  <c r="H75" i="4" s="1"/>
  <c r="C58" i="4"/>
  <c r="C59" i="4" s="1"/>
  <c r="C60" i="4" s="1"/>
  <c r="C64" i="4" s="1"/>
  <c r="C65" i="4" s="1"/>
  <c r="C58" i="8"/>
  <c r="C59" i="8" s="1"/>
  <c r="C60" i="8" s="1"/>
  <c r="C64" i="8" s="1"/>
  <c r="C65" i="8" s="1"/>
  <c r="H49" i="8"/>
  <c r="C58" i="6"/>
  <c r="C59" i="6" s="1"/>
  <c r="C60" i="6" s="1"/>
  <c r="C64" i="6" s="1"/>
  <c r="C65" i="6" s="1"/>
  <c r="H49" i="6"/>
  <c r="H49" i="13"/>
  <c r="C58" i="13"/>
  <c r="C59" i="13" s="1"/>
  <c r="C60" i="13" s="1"/>
  <c r="C64" i="13" s="1"/>
  <c r="C65" i="13" s="1"/>
  <c r="C58" i="5"/>
  <c r="C59" i="5" s="1"/>
  <c r="C60" i="5" s="1"/>
  <c r="C64" i="5" s="1"/>
  <c r="C65" i="5" s="1"/>
  <c r="H49" i="5"/>
  <c r="H75" i="5" s="1"/>
  <c r="H49" i="15"/>
  <c r="C58" i="15"/>
  <c r="C59" i="15" s="1"/>
  <c r="C60" i="15" s="1"/>
  <c r="C64" i="15" s="1"/>
  <c r="C65" i="15" s="1"/>
  <c r="H49" i="7"/>
  <c r="C58" i="7"/>
  <c r="C59" i="7" s="1"/>
  <c r="C60" i="7" s="1"/>
  <c r="C64" i="7" s="1"/>
  <c r="C65" i="7" s="1"/>
  <c r="H49" i="10"/>
  <c r="C58" i="10"/>
  <c r="C59" i="10" s="1"/>
  <c r="C60" i="10" s="1"/>
  <c r="C64" i="10" s="1"/>
  <c r="C65" i="10" s="1"/>
  <c r="G75" i="4" l="1"/>
  <c r="I75" i="4"/>
  <c r="J75" i="4" s="1"/>
  <c r="K75" i="4" s="1"/>
  <c r="L75" i="4" s="1"/>
  <c r="F51" i="5"/>
  <c r="G75" i="5"/>
  <c r="I75" i="5"/>
  <c r="J75" i="5" s="1"/>
  <c r="K75" i="5" s="1"/>
  <c r="L75" i="5" s="1"/>
  <c r="M75" i="12"/>
  <c r="G76" i="12"/>
  <c r="F51" i="12"/>
  <c r="F77" i="12" s="1"/>
  <c r="F78" i="12" s="1"/>
  <c r="M80" i="12" s="1"/>
  <c r="F77" i="9"/>
  <c r="F78" i="9" s="1"/>
  <c r="I50" i="14"/>
  <c r="J50" i="14" s="1"/>
  <c r="H76" i="14"/>
  <c r="I50" i="17"/>
  <c r="J50" i="17" s="1"/>
  <c r="M50" i="17" s="1"/>
  <c r="H76" i="17"/>
  <c r="I50" i="12"/>
  <c r="J50" i="12" s="1"/>
  <c r="H76" i="12"/>
  <c r="I50" i="9"/>
  <c r="J50" i="9" s="1"/>
  <c r="H76" i="9"/>
  <c r="M49" i="14"/>
  <c r="L49" i="14"/>
  <c r="K49" i="14"/>
  <c r="K50" i="17"/>
  <c r="F52" i="17"/>
  <c r="H51" i="17"/>
  <c r="H77" i="17" s="1"/>
  <c r="I77" i="17" s="1"/>
  <c r="J77" i="17" s="1"/>
  <c r="K77" i="17" s="1"/>
  <c r="G51" i="17"/>
  <c r="G77" i="17" s="1"/>
  <c r="G78" i="17" s="1"/>
  <c r="M49" i="17"/>
  <c r="L49" i="17"/>
  <c r="K49" i="17"/>
  <c r="F52" i="12"/>
  <c r="H51" i="12"/>
  <c r="H77" i="12" s="1"/>
  <c r="G51" i="12"/>
  <c r="G77" i="12" s="1"/>
  <c r="G78" i="12" s="1"/>
  <c r="M49" i="12"/>
  <c r="L49" i="12"/>
  <c r="K49" i="12"/>
  <c r="I49" i="16"/>
  <c r="J49" i="16" s="1"/>
  <c r="G50" i="16"/>
  <c r="G76" i="16" s="1"/>
  <c r="H50" i="16"/>
  <c r="M49" i="9"/>
  <c r="L49" i="9"/>
  <c r="K49" i="9"/>
  <c r="L50" i="9"/>
  <c r="K50" i="9"/>
  <c r="I49" i="11"/>
  <c r="J49" i="11" s="1"/>
  <c r="G50" i="11"/>
  <c r="G76" i="11" s="1"/>
  <c r="H50" i="11"/>
  <c r="I49" i="4"/>
  <c r="J49" i="4" s="1"/>
  <c r="G50" i="4"/>
  <c r="H50" i="4"/>
  <c r="G50" i="8"/>
  <c r="G76" i="8" s="1"/>
  <c r="H50" i="8"/>
  <c r="F77" i="8"/>
  <c r="F78" i="8" s="1"/>
  <c r="I49" i="8"/>
  <c r="J49" i="8" s="1"/>
  <c r="G50" i="6"/>
  <c r="G76" i="6" s="1"/>
  <c r="H50" i="6"/>
  <c r="F77" i="6"/>
  <c r="F78" i="6" s="1"/>
  <c r="I49" i="6"/>
  <c r="J49" i="6" s="1"/>
  <c r="I49" i="13"/>
  <c r="J49" i="13" s="1"/>
  <c r="G50" i="13"/>
  <c r="G76" i="13" s="1"/>
  <c r="H50" i="13"/>
  <c r="G50" i="5"/>
  <c r="G76" i="5" s="1"/>
  <c r="H50" i="5"/>
  <c r="I49" i="5"/>
  <c r="J49" i="5" s="1"/>
  <c r="I49" i="15"/>
  <c r="J49" i="15" s="1"/>
  <c r="G50" i="15"/>
  <c r="G76" i="15" s="1"/>
  <c r="H50" i="15"/>
  <c r="I49" i="7"/>
  <c r="J49" i="7" s="1"/>
  <c r="G50" i="7"/>
  <c r="G76" i="7" s="1"/>
  <c r="H50" i="7"/>
  <c r="I49" i="10"/>
  <c r="J49" i="10" s="1"/>
  <c r="G50" i="10"/>
  <c r="G76" i="10" s="1"/>
  <c r="H50" i="10"/>
  <c r="F77" i="14"/>
  <c r="F78" i="14" s="1"/>
  <c r="M75" i="4" l="1"/>
  <c r="G76" i="4"/>
  <c r="F51" i="4"/>
  <c r="F77" i="4" s="1"/>
  <c r="F78" i="4" s="1"/>
  <c r="M80" i="4" s="1"/>
  <c r="M75" i="5"/>
  <c r="N75" i="12"/>
  <c r="M50" i="12"/>
  <c r="L50" i="12"/>
  <c r="K50" i="12"/>
  <c r="I77" i="12"/>
  <c r="J77" i="12" s="1"/>
  <c r="K77" i="12" s="1"/>
  <c r="L50" i="14"/>
  <c r="K50" i="14"/>
  <c r="L50" i="17"/>
  <c r="F77" i="5"/>
  <c r="F78" i="5" s="1"/>
  <c r="M80" i="5" s="1"/>
  <c r="F77" i="7"/>
  <c r="F78" i="7" s="1"/>
  <c r="M50" i="14"/>
  <c r="M50" i="9"/>
  <c r="I76" i="14"/>
  <c r="J76" i="14" s="1"/>
  <c r="H78" i="17"/>
  <c r="I76" i="17"/>
  <c r="J76" i="17" s="1"/>
  <c r="H78" i="12"/>
  <c r="I76" i="12"/>
  <c r="J76" i="12" s="1"/>
  <c r="I76" i="9"/>
  <c r="J76" i="9" s="1"/>
  <c r="K76" i="9" s="1"/>
  <c r="F52" i="9"/>
  <c r="H51" i="9"/>
  <c r="G51" i="9"/>
  <c r="G77" i="9" s="1"/>
  <c r="G78" i="9" s="1"/>
  <c r="I50" i="16"/>
  <c r="J50" i="16" s="1"/>
  <c r="H76" i="16"/>
  <c r="I50" i="11"/>
  <c r="J50" i="11" s="1"/>
  <c r="M50" i="11" s="1"/>
  <c r="H76" i="11"/>
  <c r="I50" i="4"/>
  <c r="J50" i="4" s="1"/>
  <c r="M50" i="4" s="1"/>
  <c r="H76" i="4"/>
  <c r="I50" i="8"/>
  <c r="J50" i="8" s="1"/>
  <c r="M50" i="8" s="1"/>
  <c r="H76" i="8"/>
  <c r="I50" i="6"/>
  <c r="J50" i="6" s="1"/>
  <c r="M50" i="6" s="1"/>
  <c r="H76" i="6"/>
  <c r="I50" i="13"/>
  <c r="J50" i="13" s="1"/>
  <c r="M50" i="13" s="1"/>
  <c r="H76" i="13"/>
  <c r="I50" i="5"/>
  <c r="J50" i="5" s="1"/>
  <c r="M50" i="5" s="1"/>
  <c r="H76" i="5"/>
  <c r="I50" i="15"/>
  <c r="J50" i="15" s="1"/>
  <c r="M50" i="15" s="1"/>
  <c r="H76" i="15"/>
  <c r="I50" i="7"/>
  <c r="J50" i="7" s="1"/>
  <c r="H76" i="7"/>
  <c r="I50" i="10"/>
  <c r="J50" i="10" s="1"/>
  <c r="M50" i="10" s="1"/>
  <c r="H76" i="10"/>
  <c r="H52" i="17"/>
  <c r="I51" i="17"/>
  <c r="J51" i="17" s="1"/>
  <c r="G52" i="17"/>
  <c r="H52" i="12"/>
  <c r="I51" i="12"/>
  <c r="J51" i="12" s="1"/>
  <c r="G52" i="12"/>
  <c r="M49" i="16"/>
  <c r="L49" i="16"/>
  <c r="K49" i="16"/>
  <c r="M49" i="11"/>
  <c r="L49" i="11"/>
  <c r="K49" i="11"/>
  <c r="M49" i="4"/>
  <c r="L49" i="4"/>
  <c r="K49" i="4"/>
  <c r="F52" i="8"/>
  <c r="H51" i="8"/>
  <c r="H77" i="8" s="1"/>
  <c r="I77" i="8" s="1"/>
  <c r="J77" i="8" s="1"/>
  <c r="K77" i="8" s="1"/>
  <c r="G51" i="8"/>
  <c r="G77" i="8" s="1"/>
  <c r="G78" i="8" s="1"/>
  <c r="M49" i="8"/>
  <c r="L49" i="8"/>
  <c r="K49" i="8"/>
  <c r="F52" i="6"/>
  <c r="H51" i="6"/>
  <c r="H77" i="6" s="1"/>
  <c r="I77" i="6" s="1"/>
  <c r="J77" i="6" s="1"/>
  <c r="K77" i="6" s="1"/>
  <c r="G51" i="6"/>
  <c r="G77" i="6" s="1"/>
  <c r="G78" i="6" s="1"/>
  <c r="M49" i="6"/>
  <c r="L49" i="6"/>
  <c r="K49" i="6"/>
  <c r="M49" i="13"/>
  <c r="L49" i="13"/>
  <c r="K49" i="13"/>
  <c r="M49" i="5"/>
  <c r="L49" i="5"/>
  <c r="K49" i="5"/>
  <c r="M49" i="15"/>
  <c r="L49" i="15"/>
  <c r="K49" i="15"/>
  <c r="M49" i="7"/>
  <c r="L49" i="7"/>
  <c r="K49" i="7"/>
  <c r="M49" i="10"/>
  <c r="K49" i="10"/>
  <c r="L49" i="10"/>
  <c r="G51" i="14"/>
  <c r="G77" i="14" s="1"/>
  <c r="G78" i="14" s="1"/>
  <c r="H51" i="14"/>
  <c r="H77" i="14" s="1"/>
  <c r="F52" i="14"/>
  <c r="F77" i="16"/>
  <c r="F78" i="16" s="1"/>
  <c r="F77" i="13"/>
  <c r="F78" i="13" s="1"/>
  <c r="F77" i="15"/>
  <c r="F78" i="15" s="1"/>
  <c r="F77" i="11"/>
  <c r="F78" i="11" s="1"/>
  <c r="F77" i="10"/>
  <c r="F78" i="10" s="1"/>
  <c r="N75" i="4" l="1"/>
  <c r="N75" i="5"/>
  <c r="O75" i="12"/>
  <c r="L50" i="13"/>
  <c r="L50" i="5"/>
  <c r="F52" i="5"/>
  <c r="G51" i="5"/>
  <c r="L50" i="15"/>
  <c r="H51" i="7"/>
  <c r="H52" i="7" s="1"/>
  <c r="L50" i="16"/>
  <c r="K50" i="16"/>
  <c r="L50" i="11"/>
  <c r="K50" i="11"/>
  <c r="L50" i="4"/>
  <c r="K50" i="4"/>
  <c r="L50" i="8"/>
  <c r="K50" i="8"/>
  <c r="L50" i="6"/>
  <c r="K50" i="6"/>
  <c r="K50" i="13"/>
  <c r="K50" i="5"/>
  <c r="H51" i="5"/>
  <c r="H77" i="5" s="1"/>
  <c r="K50" i="15"/>
  <c r="G51" i="7"/>
  <c r="L50" i="7"/>
  <c r="K50" i="7"/>
  <c r="L50" i="10"/>
  <c r="K50" i="10"/>
  <c r="M50" i="7"/>
  <c r="F52" i="7"/>
  <c r="M50" i="16"/>
  <c r="K76" i="14"/>
  <c r="J78" i="17"/>
  <c r="K76" i="17"/>
  <c r="K78" i="17" s="1"/>
  <c r="J78" i="12"/>
  <c r="K76" i="12"/>
  <c r="H77" i="9"/>
  <c r="I51" i="9"/>
  <c r="J51" i="9" s="1"/>
  <c r="I76" i="16"/>
  <c r="J76" i="16" s="1"/>
  <c r="K76" i="16" s="1"/>
  <c r="I76" i="11"/>
  <c r="J76" i="11" s="1"/>
  <c r="I76" i="4"/>
  <c r="J76" i="4" s="1"/>
  <c r="H78" i="8"/>
  <c r="I76" i="8"/>
  <c r="J76" i="8" s="1"/>
  <c r="H78" i="6"/>
  <c r="I76" i="6"/>
  <c r="J76" i="6" s="1"/>
  <c r="I76" i="13"/>
  <c r="J76" i="13" s="1"/>
  <c r="I76" i="5"/>
  <c r="J76" i="5" s="1"/>
  <c r="I76" i="15"/>
  <c r="J76" i="15" s="1"/>
  <c r="I76" i="7"/>
  <c r="J76" i="7" s="1"/>
  <c r="I76" i="10"/>
  <c r="J76" i="10" s="1"/>
  <c r="H52" i="9"/>
  <c r="G52" i="9"/>
  <c r="H78" i="14"/>
  <c r="I77" i="14"/>
  <c r="J77" i="14" s="1"/>
  <c r="K77" i="14" s="1"/>
  <c r="C61" i="17"/>
  <c r="J52" i="17"/>
  <c r="M51" i="17"/>
  <c r="M52" i="17" s="1"/>
  <c r="L51" i="17"/>
  <c r="K51" i="17"/>
  <c r="K52" i="17" s="1"/>
  <c r="C62" i="17" s="1"/>
  <c r="J52" i="12"/>
  <c r="C61" i="12"/>
  <c r="M51" i="12"/>
  <c r="M52" i="12" s="1"/>
  <c r="K51" i="12"/>
  <c r="K52" i="12" s="1"/>
  <c r="C62" i="12" s="1"/>
  <c r="L51" i="12"/>
  <c r="H52" i="8"/>
  <c r="I51" i="8"/>
  <c r="J51" i="8" s="1"/>
  <c r="G52" i="8"/>
  <c r="H52" i="6"/>
  <c r="I51" i="6"/>
  <c r="J51" i="6" s="1"/>
  <c r="G52" i="6"/>
  <c r="G52" i="14"/>
  <c r="H52" i="14"/>
  <c r="I51" i="14"/>
  <c r="J51" i="14" s="1"/>
  <c r="G51" i="16"/>
  <c r="G77" i="16" s="1"/>
  <c r="G78" i="16" s="1"/>
  <c r="H51" i="16"/>
  <c r="H77" i="16" s="1"/>
  <c r="F52" i="16"/>
  <c r="G51" i="4"/>
  <c r="G77" i="4" s="1"/>
  <c r="G78" i="4" s="1"/>
  <c r="H51" i="4"/>
  <c r="H77" i="4" s="1"/>
  <c r="F52" i="4"/>
  <c r="G51" i="13"/>
  <c r="G77" i="13" s="1"/>
  <c r="G78" i="13" s="1"/>
  <c r="H51" i="13"/>
  <c r="H77" i="13" s="1"/>
  <c r="F52" i="13"/>
  <c r="G51" i="15"/>
  <c r="G77" i="15" s="1"/>
  <c r="G78" i="15" s="1"/>
  <c r="H51" i="15"/>
  <c r="H77" i="15" s="1"/>
  <c r="F52" i="15"/>
  <c r="G51" i="11"/>
  <c r="G77" i="11" s="1"/>
  <c r="G78" i="11" s="1"/>
  <c r="H51" i="11"/>
  <c r="H77" i="11" s="1"/>
  <c r="F52" i="11"/>
  <c r="G51" i="10"/>
  <c r="G77" i="10" s="1"/>
  <c r="G78" i="10" s="1"/>
  <c r="H51" i="10"/>
  <c r="H77" i="10" s="1"/>
  <c r="F52" i="10"/>
  <c r="O75" i="4" l="1"/>
  <c r="O75" i="5"/>
  <c r="G77" i="5"/>
  <c r="G78" i="5" s="1"/>
  <c r="G52" i="5"/>
  <c r="I77" i="5"/>
  <c r="J77" i="5" s="1"/>
  <c r="K77" i="5" s="1"/>
  <c r="K78" i="12"/>
  <c r="L76" i="12"/>
  <c r="H78" i="5"/>
  <c r="I51" i="7"/>
  <c r="J51" i="7" s="1"/>
  <c r="J52" i="7" s="1"/>
  <c r="H77" i="7"/>
  <c r="I77" i="7" s="1"/>
  <c r="J77" i="7" s="1"/>
  <c r="K77" i="7" s="1"/>
  <c r="G52" i="7"/>
  <c r="G77" i="7"/>
  <c r="G78" i="7" s="1"/>
  <c r="H52" i="5"/>
  <c r="K51" i="7"/>
  <c r="I51" i="5"/>
  <c r="J51" i="5" s="1"/>
  <c r="L51" i="7"/>
  <c r="M51" i="7"/>
  <c r="C61" i="7"/>
  <c r="H78" i="9"/>
  <c r="I77" i="9"/>
  <c r="M51" i="9"/>
  <c r="M52" i="9" s="1"/>
  <c r="L51" i="9"/>
  <c r="L52" i="9" s="1"/>
  <c r="C69" i="9" s="1"/>
  <c r="K51" i="9"/>
  <c r="K52" i="9" s="1"/>
  <c r="C62" i="9" s="1"/>
  <c r="J52" i="9"/>
  <c r="C61" i="9"/>
  <c r="K76" i="11"/>
  <c r="K76" i="4"/>
  <c r="L76" i="4" s="1"/>
  <c r="J78" i="8"/>
  <c r="K76" i="8"/>
  <c r="K78" i="8" s="1"/>
  <c r="J78" i="6"/>
  <c r="K76" i="6"/>
  <c r="K78" i="6" s="1"/>
  <c r="K76" i="13"/>
  <c r="J78" i="5"/>
  <c r="K76" i="5"/>
  <c r="K76" i="15"/>
  <c r="J78" i="7"/>
  <c r="K76" i="7"/>
  <c r="K78" i="7" s="1"/>
  <c r="K76" i="10"/>
  <c r="C66" i="7"/>
  <c r="C67" i="7"/>
  <c r="J78" i="14"/>
  <c r="K78" i="14"/>
  <c r="H78" i="7"/>
  <c r="H78" i="16"/>
  <c r="I77" i="16"/>
  <c r="H78" i="4"/>
  <c r="I77" i="4"/>
  <c r="J77" i="4" s="1"/>
  <c r="K77" i="4" s="1"/>
  <c r="H78" i="13"/>
  <c r="I77" i="13"/>
  <c r="J77" i="13" s="1"/>
  <c r="K77" i="13" s="1"/>
  <c r="H78" i="15"/>
  <c r="I77" i="15"/>
  <c r="J77" i="15" s="1"/>
  <c r="K77" i="15" s="1"/>
  <c r="H78" i="11"/>
  <c r="I77" i="11"/>
  <c r="J77" i="11" s="1"/>
  <c r="K77" i="11" s="1"/>
  <c r="H78" i="10"/>
  <c r="I77" i="10"/>
  <c r="J77" i="10" s="1"/>
  <c r="K77" i="10" s="1"/>
  <c r="C67" i="17"/>
  <c r="C66" i="17"/>
  <c r="L52" i="17"/>
  <c r="C67" i="12"/>
  <c r="C66" i="12"/>
  <c r="L52" i="12"/>
  <c r="M51" i="8"/>
  <c r="M52" i="8" s="1"/>
  <c r="C61" i="8"/>
  <c r="J52" i="8"/>
  <c r="K51" i="8"/>
  <c r="K52" i="8" s="1"/>
  <c r="C62" i="8" s="1"/>
  <c r="L51" i="8"/>
  <c r="C61" i="6"/>
  <c r="J52" i="6"/>
  <c r="M51" i="6"/>
  <c r="M52" i="6" s="1"/>
  <c r="K51" i="6"/>
  <c r="K52" i="6" s="1"/>
  <c r="C62" i="6" s="1"/>
  <c r="L51" i="6"/>
  <c r="M51" i="14"/>
  <c r="M52" i="14" s="1"/>
  <c r="C61" i="14"/>
  <c r="J52" i="14"/>
  <c r="K51" i="14"/>
  <c r="K52" i="14" s="1"/>
  <c r="C62" i="14" s="1"/>
  <c r="L51" i="14"/>
  <c r="G52" i="16"/>
  <c r="H52" i="16"/>
  <c r="I51" i="16"/>
  <c r="J51" i="16" s="1"/>
  <c r="G52" i="4"/>
  <c r="H52" i="4"/>
  <c r="I51" i="4"/>
  <c r="J51" i="4" s="1"/>
  <c r="G52" i="13"/>
  <c r="H52" i="13"/>
  <c r="I51" i="13"/>
  <c r="J51" i="13" s="1"/>
  <c r="G52" i="15"/>
  <c r="H52" i="15"/>
  <c r="I51" i="15"/>
  <c r="J51" i="15" s="1"/>
  <c r="G52" i="11"/>
  <c r="H52" i="11"/>
  <c r="I51" i="11"/>
  <c r="J51" i="11" s="1"/>
  <c r="G52" i="10"/>
  <c r="H52" i="10"/>
  <c r="I51" i="10"/>
  <c r="J51" i="10" s="1"/>
  <c r="L77" i="4" l="1"/>
  <c r="M76" i="4"/>
  <c r="K78" i="5"/>
  <c r="L76" i="5"/>
  <c r="L77" i="12"/>
  <c r="M76" i="12"/>
  <c r="M52" i="7"/>
  <c r="K52" i="7"/>
  <c r="C62" i="7" s="1"/>
  <c r="C61" i="5"/>
  <c r="K51" i="5"/>
  <c r="K52" i="5" s="1"/>
  <c r="C62" i="5" s="1"/>
  <c r="L52" i="7"/>
  <c r="C69" i="7" s="1"/>
  <c r="M51" i="5"/>
  <c r="M52" i="5" s="1"/>
  <c r="J52" i="5"/>
  <c r="L51" i="5"/>
  <c r="J77" i="9"/>
  <c r="K77" i="9" s="1"/>
  <c r="K78" i="9" s="1"/>
  <c r="J78" i="9"/>
  <c r="C67" i="9"/>
  <c r="C66" i="9"/>
  <c r="J77" i="16"/>
  <c r="K77" i="16" s="1"/>
  <c r="K78" i="16" s="1"/>
  <c r="K78" i="11"/>
  <c r="K78" i="13"/>
  <c r="J78" i="11"/>
  <c r="J78" i="4"/>
  <c r="K78" i="4"/>
  <c r="J78" i="13"/>
  <c r="K78" i="15"/>
  <c r="J78" i="10"/>
  <c r="K78" i="10"/>
  <c r="J78" i="15"/>
  <c r="C69" i="17"/>
  <c r="C69" i="12"/>
  <c r="C67" i="8"/>
  <c r="C66" i="8"/>
  <c r="L52" i="8"/>
  <c r="C67" i="6"/>
  <c r="C66" i="6"/>
  <c r="L52" i="6"/>
  <c r="C67" i="14"/>
  <c r="C66" i="14"/>
  <c r="L52" i="14"/>
  <c r="M51" i="16"/>
  <c r="M52" i="16" s="1"/>
  <c r="C61" i="16"/>
  <c r="J52" i="16"/>
  <c r="L51" i="16"/>
  <c r="K51" i="16"/>
  <c r="K52" i="16" s="1"/>
  <c r="C62" i="16" s="1"/>
  <c r="M51" i="4"/>
  <c r="M52" i="4" s="1"/>
  <c r="J52" i="4"/>
  <c r="C61" i="4"/>
  <c r="K51" i="4"/>
  <c r="K52" i="4" s="1"/>
  <c r="C62" i="4" s="1"/>
  <c r="L51" i="4"/>
  <c r="M51" i="13"/>
  <c r="M52" i="13" s="1"/>
  <c r="C61" i="13"/>
  <c r="J52" i="13"/>
  <c r="L51" i="13"/>
  <c r="K51" i="13"/>
  <c r="K52" i="13" s="1"/>
  <c r="C62" i="13" s="1"/>
  <c r="M51" i="15"/>
  <c r="M52" i="15" s="1"/>
  <c r="C61" i="15"/>
  <c r="J52" i="15"/>
  <c r="K51" i="15"/>
  <c r="K52" i="15" s="1"/>
  <c r="C62" i="15" s="1"/>
  <c r="L51" i="15"/>
  <c r="M51" i="11"/>
  <c r="M52" i="11" s="1"/>
  <c r="C61" i="11"/>
  <c r="J52" i="11"/>
  <c r="L51" i="11"/>
  <c r="K51" i="11"/>
  <c r="K52" i="11" s="1"/>
  <c r="C62" i="11" s="1"/>
  <c r="M51" i="10"/>
  <c r="M52" i="10" s="1"/>
  <c r="C61" i="10"/>
  <c r="J52" i="10"/>
  <c r="L51" i="10"/>
  <c r="K51" i="10"/>
  <c r="K52" i="10" s="1"/>
  <c r="C62" i="10" s="1"/>
  <c r="M78" i="4" l="1"/>
  <c r="M81" i="4" s="1"/>
  <c r="M82" i="4" s="1"/>
  <c r="N76" i="4"/>
  <c r="M77" i="4"/>
  <c r="N77" i="4" s="1"/>
  <c r="O77" i="4" s="1"/>
  <c r="L78" i="4"/>
  <c r="L77" i="5"/>
  <c r="M76" i="5"/>
  <c r="M78" i="12"/>
  <c r="M81" i="12" s="1"/>
  <c r="M82" i="12" s="1"/>
  <c r="N76" i="12"/>
  <c r="M77" i="12"/>
  <c r="N77" i="12" s="1"/>
  <c r="O77" i="12" s="1"/>
  <c r="L78" i="12"/>
  <c r="C67" i="5"/>
  <c r="J78" i="16"/>
  <c r="C66" i="5"/>
  <c r="L52" i="5"/>
  <c r="C69" i="8"/>
  <c r="C69" i="6"/>
  <c r="C69" i="14"/>
  <c r="C67" i="16"/>
  <c r="C66" i="16"/>
  <c r="L52" i="16"/>
  <c r="C67" i="4"/>
  <c r="C66" i="4"/>
  <c r="L52" i="4"/>
  <c r="C67" i="13"/>
  <c r="C66" i="13"/>
  <c r="L52" i="13"/>
  <c r="C67" i="15"/>
  <c r="C66" i="15"/>
  <c r="L52" i="15"/>
  <c r="C67" i="11"/>
  <c r="C66" i="11"/>
  <c r="L52" i="11"/>
  <c r="C67" i="10"/>
  <c r="C66" i="10"/>
  <c r="L52" i="10"/>
  <c r="N78" i="4" l="1"/>
  <c r="O76" i="4"/>
  <c r="O78" i="4" s="1"/>
  <c r="M78" i="5"/>
  <c r="M81" i="5" s="1"/>
  <c r="M82" i="5" s="1"/>
  <c r="N76" i="5"/>
  <c r="M77" i="5"/>
  <c r="N77" i="5" s="1"/>
  <c r="O77" i="5" s="1"/>
  <c r="L78" i="5"/>
  <c r="N78" i="12"/>
  <c r="O76" i="12"/>
  <c r="O78" i="12" s="1"/>
  <c r="C69" i="5"/>
  <c r="C69" i="16"/>
  <c r="C69" i="4"/>
  <c r="C69" i="13"/>
  <c r="C69" i="15"/>
  <c r="C69" i="11"/>
  <c r="C69" i="10"/>
  <c r="N78" i="5" l="1"/>
  <c r="O76" i="5"/>
  <c r="O7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3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3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3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3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3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3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3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3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3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3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3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4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4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4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4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4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4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4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4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4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4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4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5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5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5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5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5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5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5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5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5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5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5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6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6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6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6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6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6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6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6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6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6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6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7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7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7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7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7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7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7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7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7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7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7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8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8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8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8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8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8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8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8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8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8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8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9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9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9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9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9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9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9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9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9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9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9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0A00-000001000000}">
      <text>
        <r>
          <rPr>
            <sz val="10"/>
            <rFont val="Arial"/>
            <family val="2"/>
          </rPr>
          <t>Actual footprint area as per the FBC/architectural layout for this plot.</t>
        </r>
      </text>
    </comment>
    <comment ref="C12" authorId="0" shapeId="0" xr:uid="{00000000-0006-0000-0A00-000002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A00-000003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A00-000004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A00-000005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A00-000006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A00-000007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A00-00000A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A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A00-00000B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A00-000009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A00-00000C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B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B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B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B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B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B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B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B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B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B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B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C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C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C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C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C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C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C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C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C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C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C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D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D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D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D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D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D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D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D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D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D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D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2" authorId="0" shapeId="0" xr:uid="{00000000-0006-0000-0E00-000001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E00-000002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E00-000003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E00-000004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E00-000005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E00-000006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E00-000009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E00-000007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E00-00000A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E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E00-00000B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0F00-000001000000}">
      <text>
        <r>
          <rPr>
            <sz val="10"/>
            <rFont val="Arial"/>
            <family val="2"/>
          </rPr>
          <t>Actual footprint area as per the FBC/architectural layout for this plot.</t>
        </r>
      </text>
    </comment>
    <comment ref="C12" authorId="0" shapeId="0" xr:uid="{00000000-0006-0000-0F00-000002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0F00-000003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0F00-000004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0F00-000005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0F00-000006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0F00-000007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0F00-00000A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0F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0F00-00000B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0F00-000009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0F00-00000C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0" authorId="0" shapeId="0" xr:uid="{00000000-0006-0000-1000-000001000000}">
      <text>
        <r>
          <rPr>
            <sz val="10"/>
            <rFont val="Arial"/>
            <family val="2"/>
          </rPr>
          <t>Actual footprint area as per the FBC/architectural layout for this plot.</t>
        </r>
      </text>
    </comment>
    <comment ref="C12" authorId="0" shapeId="0" xr:uid="{00000000-0006-0000-1000-000002000000}">
      <text>
        <r>
          <rPr>
            <sz val="10"/>
            <rFont val="Arial"/>
            <family val="2"/>
          </rPr>
          <t>20% for commercial/industrial, 35% for residential as per current Fungible FSI regulations — confirm applicable % for this plot's use.</t>
        </r>
      </text>
    </comment>
    <comment ref="C15" authorId="0" shapeId="0" xr:uid="{00000000-0006-0000-1000-000003000000}">
      <text>
        <r>
          <rPr>
            <sz val="10"/>
            <rFont val="Arial"/>
            <family val="2"/>
          </rPr>
          <t>As per Airport/CRZ/Fire NOC or applicable height-restriction clearance for this plot.</t>
        </r>
      </text>
    </comment>
    <comment ref="C28" authorId="0" shapeId="0" xr:uid="{00000000-0006-0000-1000-000004000000}">
      <text>
        <r>
          <rPr>
            <sz val="10"/>
            <rFont val="Arial"/>
            <family val="2"/>
          </rPr>
          <t>Minimum 1.5 m as per Mumbai DCR 1991 basement-setback regulation (3 m if tree-cutting is involved on the periphery). Increase if site conditions require more.</t>
        </r>
      </text>
    </comment>
    <comment ref="C29" authorId="0" shapeId="0" xr:uid="{00000000-0006-0000-1000-000005000000}">
      <text>
        <r>
          <rPr>
            <sz val="10"/>
            <rFont val="Arial"/>
            <family val="2"/>
          </rPr>
          <t>Enter the actual achievable basement footprint for this plot after applying the 1.5 m boundary setback (3 m at tree-cutting zones). This is often LARGER than the above-ground Ground Coverage, since the basement can extend under above-ground setback areas right up to the 1.5 m line. Take the real figure from the basement layout drawing for this plot.</t>
        </r>
      </text>
    </comment>
    <comment ref="C31" authorId="0" shapeId="0" xr:uid="{00000000-0006-0000-1000-000006000000}">
      <text>
        <r>
          <rPr>
            <sz val="10"/>
            <rFont val="Arial"/>
            <family val="2"/>
          </rPr>
          <t>Min. 2.4m clear below beam; max 3m without stack parking, 4.2m with stack parking, as per DCR 1991.</t>
        </r>
      </text>
    </comment>
    <comment ref="C49" authorId="0" shapeId="0" xr:uid="{00000000-0006-0000-1000-000007000000}">
      <text>
        <r>
          <rPr>
            <sz val="10"/>
            <rFont val="Arial"/>
            <family val="2"/>
          </rPr>
          <t>Achievable floor-plate area at this stage for THIS plot (depends on plot shape/dimensions) - enter per plot.</t>
        </r>
      </text>
    </comment>
    <comment ref="D49" authorId="0" shapeId="0" xr:uid="{00000000-0006-0000-1000-00000A000000}">
      <text>
        <r>
          <rPr>
            <sz val="10"/>
            <rFont val="Arial"/>
            <family val="2"/>
          </rPr>
          <t>Height band up to which a 6m side setback is sufficient as per DCR (typically up to 24m).</t>
        </r>
      </text>
    </comment>
    <comment ref="C50" authorId="0" shapeId="0" xr:uid="{00000000-0006-0000-1000-000008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D50" authorId="0" shapeId="0" xr:uid="{00000000-0006-0000-1000-00000B000000}">
      <text>
        <r>
          <rPr>
            <sz val="10"/>
            <rFont val="Arial"/>
            <family val="2"/>
          </rPr>
          <t>Additional height band covered by a 9m setback (e.g. 37.5m - 24m = 13.5m). Enter the band's own height, not the cumulative height.</t>
        </r>
      </text>
    </comment>
    <comment ref="C51" authorId="0" shapeId="0" xr:uid="{00000000-0006-0000-1000-000009000000}">
      <text>
        <r>
          <rPr>
            <sz val="10"/>
            <rFont val="Arial"/>
            <family val="2"/>
          </rPr>
          <t>Achievable floor-plate area at this stage for THIS plot - enter per plot.</t>
        </r>
      </text>
    </comment>
    <comment ref="F51" authorId="0" shapeId="0" xr:uid="{00000000-0006-0000-1000-00000C000000}">
      <text>
        <r>
          <rPr>
            <sz val="10"/>
            <rFont val="Arial"/>
            <family val="2"/>
          </rPr>
          <t>MANUAL INPUT: there is no height restriction once front margin exceeds 12m, so you decide the number of floors at this stage - typically set so total Gross BUA below approaches the Total Permissible BUA with Fungible FSI (Section B).</t>
        </r>
      </text>
    </comment>
  </commentList>
</comments>
</file>

<file path=xl/sharedStrings.xml><?xml version="1.0" encoding="utf-8"?>
<sst xmlns="http://schemas.openxmlformats.org/spreadsheetml/2006/main" count="2267" uniqueCount="133">
  <si>
    <t>CGO OFFICE COMPLEX</t>
  </si>
  <si>
    <t>FSI</t>
  </si>
  <si>
    <t>Floor Plate
Area (Sqm)</t>
  </si>
  <si>
    <t>Upto 24 m</t>
  </si>
  <si>
    <t>24 m - 37.5 m</t>
  </si>
  <si>
    <t>EXAMINING THE FEASIBILITY OF CONSUMPTION OF BUILT UP AREA</t>
  </si>
  <si>
    <t>A.  PLOT, FSI &amp; REGULATORY INPUTS  (enter values for the plot being checked)</t>
  </si>
  <si>
    <t>Sr.No</t>
  </si>
  <si>
    <t>Particulars</t>
  </si>
  <si>
    <t>Details</t>
  </si>
  <si>
    <t>Units</t>
  </si>
  <si>
    <t>Plot Number / Identification</t>
  </si>
  <si>
    <t>157  5/6</t>
  </si>
  <si>
    <t>Plot Area</t>
  </si>
  <si>
    <t>Sqm</t>
  </si>
  <si>
    <t>Ground Coverage (footprint at ground level)</t>
  </si>
  <si>
    <t>Ground Coverage (Between heights 24m to 37.5m)</t>
  </si>
  <si>
    <t>Ground Coverage (Above the height of 37.5m)</t>
  </si>
  <si>
    <t>Total Permissible FSI (Base + Additional)</t>
  </si>
  <si>
    <t>—</t>
  </si>
  <si>
    <t>Additional area for chowk, shaft, etc.</t>
  </si>
  <si>
    <t>%</t>
  </si>
  <si>
    <t>Front Setback</t>
  </si>
  <si>
    <t>12 m</t>
  </si>
  <si>
    <t xml:space="preserve">Side Setback </t>
  </si>
  <si>
    <t>6 m</t>
  </si>
  <si>
    <t>Max. Permissible Height of Building</t>
  </si>
  <si>
    <t>m</t>
  </si>
  <si>
    <t>Plinth Height</t>
  </si>
  <si>
    <t>Typical Office Floor-to-Floor Height</t>
  </si>
  <si>
    <t>Podium Parking Floor-to-Floor Height</t>
  </si>
  <si>
    <t xml:space="preserve">B.  PERMISSIBLE BUA CALCULATION  </t>
  </si>
  <si>
    <t>Total Permissible BUA (Plot Area x FSI)</t>
  </si>
  <si>
    <t xml:space="preserve">Total BUA </t>
  </si>
  <si>
    <t xml:space="preserve">C.  BASEMENT CALCULATION  </t>
  </si>
  <si>
    <t>Basement Setback from Plot Boundary (DCR 1991)</t>
  </si>
  <si>
    <t>Basement Floor Plate Area (achievable footprint after 1.5 m margin)</t>
  </si>
  <si>
    <t>No. of Basement Floors Proposed</t>
  </si>
  <si>
    <t>Nos.</t>
  </si>
  <si>
    <t>Basement Floor-to-Floor Height</t>
  </si>
  <si>
    <t>Total Basement BUA (Floors x Floor Plate)</t>
  </si>
  <si>
    <t>D. PARKING REQUIREMENTS</t>
  </si>
  <si>
    <t>Value</t>
  </si>
  <si>
    <t>Parking upto 1500 Sqm @ 37.5 Sqm per space</t>
  </si>
  <si>
    <t>Remaining Built up Area (BUA - 1500)</t>
  </si>
  <si>
    <t>Parking for remaining BUA @ 75 Sqm per space</t>
  </si>
  <si>
    <t>Total Parking Required</t>
  </si>
  <si>
    <t>Additional 10% Visitor Parking</t>
  </si>
  <si>
    <t>Total Parking with Visitor</t>
  </si>
  <si>
    <t>BUA required for parking @ 35 Sqm per car</t>
  </si>
  <si>
    <t>Parking requrement met in Basement</t>
  </si>
  <si>
    <t xml:space="preserve">Balance Parking area required </t>
  </si>
  <si>
    <t xml:space="preserve">Nos. of podium floors required for Parking  </t>
  </si>
  <si>
    <t>E.  SIDE CALCULATION: FLOOR PLATE BREAKDOWN BY SETBACK</t>
  </si>
  <si>
    <t>Setback Stage</t>
  </si>
  <si>
    <t>Height Band
Applicable</t>
  </si>
  <si>
    <t>Height Available
 (m)</t>
  </si>
  <si>
    <t>No.of permissible floors (@3.3m high floors)</t>
  </si>
  <si>
    <t xml:space="preserve">No. of Floors parking (@2.4m high floors)
</t>
  </si>
  <si>
    <t>BUA Consumed (Parking)</t>
  </si>
  <si>
    <t>Height Consumed
(Parking)</t>
  </si>
  <si>
    <t>Remaining Height (m)</t>
  </si>
  <si>
    <t>Office Floors</t>
  </si>
  <si>
    <t>Height Consumed (Office)(m)</t>
  </si>
  <si>
    <t xml:space="preserve">Gross BUA office spaces
</t>
  </si>
  <si>
    <t xml:space="preserve">TOTAL HEIGHT
</t>
  </si>
  <si>
    <t>6 m setback</t>
  </si>
  <si>
    <t>9 m setback</t>
  </si>
  <si>
    <t>12 m setback</t>
  </si>
  <si>
    <t>Beyond 37.5 m (no height limit)</t>
  </si>
  <si>
    <t xml:space="preserve">TOTAL </t>
  </si>
  <si>
    <t>feasible office floors</t>
  </si>
  <si>
    <t>F. HEIGHT ANALYSIS &amp; FEASIBILITY</t>
  </si>
  <si>
    <t>Max. Permissible Height</t>
  </si>
  <si>
    <t>Estimated Podium Parking Floors</t>
  </si>
  <si>
    <t>Podium Height @ 2.4m per floor</t>
  </si>
  <si>
    <t>Balance Height for Office</t>
  </si>
  <si>
    <t>Actual total height consumed</t>
  </si>
  <si>
    <t xml:space="preserve">  Height consumed for offices</t>
  </si>
  <si>
    <t>Height per Office Floor</t>
  </si>
  <si>
    <t>Permissible Office Floors based on norms</t>
  </si>
  <si>
    <t>Total permissible  Floors (Podium + Office)</t>
  </si>
  <si>
    <t>Feasible office floors</t>
  </si>
  <si>
    <t>Feasible total no.of floors</t>
  </si>
  <si>
    <t>Permsisible BUA Consumption of offices</t>
  </si>
  <si>
    <t xml:space="preserve">Achieved BUA by offices </t>
  </si>
  <si>
    <t>157  3/4</t>
  </si>
  <si>
    <t>157  1/2</t>
  </si>
  <si>
    <t>160  3/4</t>
  </si>
  <si>
    <t>160  1/2</t>
  </si>
  <si>
    <t>159  3/4</t>
  </si>
  <si>
    <t>159  1/2</t>
  </si>
  <si>
    <t>158  2/4</t>
  </si>
  <si>
    <t>158  1/3</t>
  </si>
  <si>
    <t>146  3/4</t>
  </si>
  <si>
    <t>146  1/2</t>
  </si>
  <si>
    <t>Feasibleoffice floors</t>
  </si>
  <si>
    <t>CGO COMPLEX – PLOT DIMENSIONS &amp; GC AREA SUMMARY</t>
  </si>
  <si>
    <t>Setback Scenarios: 12M Front + 6M Side  |  12M Front + 9M Side  |  12M All Sides</t>
  </si>
  <si>
    <t>Plot</t>
  </si>
  <si>
    <t>Sub-Plot</t>
  </si>
  <si>
    <t>Area (SQM)</t>
  </si>
  <si>
    <t>GC Area – 12M Front
+ 6M Side (SQM)</t>
  </si>
  <si>
    <t>GC Area – 12M Front
+ 9M Side (SQM)</t>
  </si>
  <si>
    <t>GC Area – 12M
All Sides (SQM)</t>
  </si>
  <si>
    <t>BASEMENT FLOOR PLATE AREA WITH 1.5M SETBACK (SQM)</t>
  </si>
  <si>
    <t>MAX.HEIGHT</t>
  </si>
  <si>
    <t>PLOT 145
(Inc. 1/2/3/4)</t>
  </si>
  <si>
    <t>TOTAL</t>
  </si>
  <si>
    <t>145  1/2</t>
  </si>
  <si>
    <t>145  3/4</t>
  </si>
  <si>
    <t>PLOT 146
(Inc. 1/2/3/4)</t>
  </si>
  <si>
    <t>PLOT 160
(Inc. 1/2/3/4)</t>
  </si>
  <si>
    <t>PLOT 159
(Inc. 1/2/3/4)</t>
  </si>
  <si>
    <t>PLOT 158
(Inc. 1/2/3/4/5/6)</t>
  </si>
  <si>
    <t>158  5/6</t>
  </si>
  <si>
    <t>PLOT 157
(Inc. 1/2/3/4/5/6)</t>
  </si>
  <si>
    <t>LEGEND</t>
  </si>
  <si>
    <t xml:space="preserve">  A  –  Plot identifier (combined area)</t>
  </si>
  <si>
    <t xml:space="preserve">  B  –  Total row for the plot group</t>
  </si>
  <si>
    <t xml:space="preserve">  C  –  GC Area with 12M Front + 6M Side setbacks</t>
  </si>
  <si>
    <t xml:space="preserve">  D  –  GC Area with 12M Front + 9M Side setbacks</t>
  </si>
  <si>
    <t xml:space="preserve">  E  –  GC Area with 12M setback on all sides</t>
  </si>
  <si>
    <t>Source: CGO_COMPLEX_PLOT_DIMENSIONS.dxf  |  Data extracted directly from AutoCAD DXF entities  |  All areas in Square Metres (SQM)</t>
  </si>
  <si>
    <t>G. BUA CALCULATION BASED ON ATTAINING THE BUA  INSTEAD OF THE THE HEIGHT</t>
  </si>
  <si>
    <t>Achievable BUA</t>
  </si>
  <si>
    <t xml:space="preserve">Permmissible BUA distribution
</t>
  </si>
  <si>
    <t xml:space="preserve">No.of floors based on permissible BUA
</t>
  </si>
  <si>
    <t xml:space="preserve">Total height
</t>
  </si>
  <si>
    <t xml:space="preserve">Floors to be achieved @ 3.3M </t>
  </si>
  <si>
    <t>PODIUM FLOORS</t>
  </si>
  <si>
    <t>OFFICE FLOORS</t>
  </si>
  <si>
    <t>TOTAL FLOORS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</si>
</sst>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_(* #,##0.00_);_(* \(#,##0.00\);_(* \-??_);_(@_)"/>
    <numFmt numFmtId="166" formatCode="_ * #,##0_ ;_ * \-#,##0_ ;_ * \-??_ ;_ @_ "/>
    <numFmt numFmtId="167" formatCode="0.0"/>
    <numFmt numFmtId="168" formatCode="_ * #,##0.00_ ;_ * \-#,##0.00_ ;_ * \-??_ ;_ @_ "/>
  </numFmts>
  <fonts count="28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9"/>
      <color rgb="FF1F3864"/>
      <name val="Arial"/>
      <charset val="1"/>
    </font>
    <font>
      <sz val="9"/>
      <color rgb="FF1F497D"/>
      <name val="Arial"/>
      <charset val="1"/>
    </font>
    <font>
      <i/>
      <sz val="8.5"/>
      <color rgb="FF808080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1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theme="1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</font>
    <font>
      <b/>
      <sz val="9"/>
      <color rgb="FF1F3864"/>
      <name val="Arial"/>
      <family val="2"/>
      <charset val="1"/>
    </font>
    <font>
      <b/>
      <sz val="14"/>
      <color rgb="FFFFFFFF"/>
      <name val="Arial"/>
      <charset val="1"/>
    </font>
    <font>
      <i/>
      <sz val="9"/>
      <color rgb="FF4472C4"/>
      <name val="Arial"/>
      <charset val="1"/>
    </font>
    <font>
      <b/>
      <sz val="9"/>
      <color rgb="FFFFFFFF"/>
      <name val="Arial"/>
      <charset val="1"/>
    </font>
    <font>
      <b/>
      <sz val="11"/>
      <color theme="0"/>
      <name val="Calibri"/>
      <family val="2"/>
      <charset val="1"/>
    </font>
    <font>
      <b/>
      <sz val="10"/>
      <color rgb="FF1F3864"/>
      <name val="Arial"/>
      <charset val="1"/>
    </font>
    <font>
      <b/>
      <sz val="8"/>
      <color rgb="FF1F3864"/>
      <name val="Arial"/>
      <charset val="1"/>
    </font>
    <font>
      <b/>
      <sz val="8"/>
      <color rgb="FF1E7145"/>
      <name val="Arial"/>
      <charset val="1"/>
    </font>
    <font>
      <b/>
      <sz val="8"/>
      <color rgb="FF7F6000"/>
      <name val="Arial"/>
      <charset val="1"/>
    </font>
    <font>
      <b/>
      <sz val="8"/>
      <color rgb="FF843C0C"/>
      <name val="Arial"/>
      <charset val="1"/>
    </font>
    <font>
      <i/>
      <sz val="8"/>
      <color rgb="FF7F7F7F"/>
      <name val="Arial"/>
      <charset val="1"/>
    </font>
    <font>
      <sz val="11"/>
      <color theme="1"/>
      <name val="Calibri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203864"/>
        <bgColor rgb="FF1F3864"/>
      </patternFill>
    </fill>
    <fill>
      <patternFill patternType="solid">
        <fgColor rgb="FF1F4E78"/>
        <bgColor rgb="FF1F497D"/>
      </patternFill>
    </fill>
    <fill>
      <patternFill patternType="solid">
        <fgColor rgb="FFBFBFBF"/>
        <bgColor rgb="FFB4C7E7"/>
      </patternFill>
    </fill>
    <fill>
      <patternFill patternType="solid">
        <fgColor rgb="FFF5FAFF"/>
        <bgColor rgb="FFF8F8F8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8B5"/>
      </patternFill>
    </fill>
    <fill>
      <patternFill patternType="solid">
        <fgColor rgb="FFFCE4D6"/>
        <bgColor rgb="FFFCE8B5"/>
      </patternFill>
    </fill>
    <fill>
      <patternFill patternType="solid">
        <fgColor rgb="FFB4C7E7"/>
        <bgColor rgb="FFBDD7EE"/>
      </patternFill>
    </fill>
    <fill>
      <patternFill patternType="solid">
        <fgColor rgb="FF366092"/>
        <bgColor rgb="FF2E75B6"/>
      </patternFill>
    </fill>
    <fill>
      <patternFill patternType="solid">
        <fgColor rgb="FFD9E1F2"/>
        <bgColor rgb="FFD9E2F3"/>
      </patternFill>
    </fill>
    <fill>
      <patternFill patternType="solid">
        <fgColor rgb="FFFFFF00"/>
        <bgColor rgb="FFFCE8B5"/>
      </patternFill>
    </fill>
    <fill>
      <patternFill patternType="solid">
        <fgColor theme="9" tint="0.39988402966399123"/>
        <bgColor rgb="FFF8CBCB"/>
      </patternFill>
    </fill>
    <fill>
      <patternFill patternType="solid">
        <fgColor rgb="FFEBF3FB"/>
        <bgColor rgb="FFF5FAFF"/>
      </patternFill>
    </fill>
    <fill>
      <patternFill patternType="solid">
        <fgColor rgb="FF1F3864"/>
        <bgColor rgb="FF203864"/>
      </patternFill>
    </fill>
    <fill>
      <patternFill patternType="solid">
        <fgColor rgb="FFDEEAF1"/>
        <bgColor rgb="FFDBEEF4"/>
      </patternFill>
    </fill>
    <fill>
      <patternFill patternType="solid">
        <fgColor rgb="FF2E75B6"/>
        <bgColor rgb="FF4472C4"/>
      </patternFill>
    </fill>
    <fill>
      <patternFill patternType="solid">
        <fgColor rgb="FF1E7145"/>
        <bgColor rgb="FF008000"/>
      </patternFill>
    </fill>
    <fill>
      <patternFill patternType="solid">
        <fgColor rgb="FF7F6000"/>
        <bgColor rgb="FF843C0C"/>
      </patternFill>
    </fill>
    <fill>
      <patternFill patternType="solid">
        <fgColor rgb="FF843C0C"/>
        <bgColor rgb="FF7F6000"/>
      </patternFill>
    </fill>
    <fill>
      <patternFill patternType="solid">
        <fgColor theme="3" tint="0.39988402966399123"/>
        <bgColor rgb="FF4472C4"/>
      </patternFill>
    </fill>
    <fill>
      <patternFill patternType="solid">
        <fgColor rgb="FFD6E4F0"/>
        <bgColor rgb="FFD9E2F3"/>
      </patternFill>
    </fill>
    <fill>
      <patternFill patternType="solid">
        <fgColor rgb="FFBDD7EE"/>
        <bgColor rgb="FFB4C7E7"/>
      </patternFill>
    </fill>
    <fill>
      <patternFill patternType="solid">
        <fgColor theme="8" tint="0.79989013336588644"/>
        <bgColor rgb="FFDEEAF1"/>
      </patternFill>
    </fill>
    <fill>
      <patternFill patternType="solid">
        <fgColor rgb="FFF8F8F8"/>
        <bgColor rgb="FFF5FAFF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165" fontId="27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3" fillId="3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4" fontId="7" fillId="5" borderId="4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" fontId="7" fillId="6" borderId="4" xfId="0" applyNumberFormat="1" applyFont="1" applyFill="1" applyBorder="1" applyAlignment="1">
      <alignment horizontal="center" vertical="center"/>
    </xf>
    <xf numFmtId="4" fontId="7" fillId="7" borderId="4" xfId="0" applyNumberFormat="1" applyFont="1" applyFill="1" applyBorder="1" applyAlignment="1">
      <alignment horizontal="center" vertical="center"/>
    </xf>
    <xf numFmtId="4" fontId="7" fillId="8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9" fontId="9" fillId="7" borderId="2" xfId="0" applyNumberFormat="1" applyFont="1" applyFill="1" applyBorder="1" applyAlignment="1">
      <alignment horizontal="center" vertical="center"/>
    </xf>
    <xf numFmtId="49" fontId="9" fillId="7" borderId="2" xfId="0" applyNumberFormat="1" applyFont="1" applyFill="1" applyBorder="1" applyAlignment="1">
      <alignment horizontal="center" vertical="center"/>
    </xf>
    <xf numFmtId="4" fontId="9" fillId="7" borderId="2" xfId="0" applyNumberFormat="1" applyFont="1" applyFill="1" applyBorder="1" applyAlignment="1">
      <alignment horizontal="center" vertical="center"/>
    </xf>
    <xf numFmtId="4" fontId="4" fillId="6" borderId="2" xfId="0" applyNumberFormat="1" applyFont="1" applyFill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0" fontId="10" fillId="9" borderId="0" xfId="0" applyFont="1" applyFill="1" applyAlignment="1">
      <alignment horizontal="center"/>
    </xf>
    <xf numFmtId="0" fontId="11" fillId="10" borderId="4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0" fillId="0" borderId="4" xfId="0" applyBorder="1"/>
    <xf numFmtId="165" fontId="27" fillId="0" borderId="4" xfId="1" applyBorder="1" applyAlignment="1">
      <alignment horizontal="center" vertical="center"/>
    </xf>
    <xf numFmtId="165" fontId="27" fillId="0" borderId="4" xfId="1" applyBorder="1" applyAlignment="1">
      <alignment horizontal="center"/>
    </xf>
    <xf numFmtId="166" fontId="27" fillId="0" borderId="4" xfId="1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0" xfId="0" applyFill="1" applyAlignment="1">
      <alignment horizontal="center"/>
    </xf>
    <xf numFmtId="0" fontId="13" fillId="4" borderId="0" xfId="0" applyFont="1" applyFill="1" applyAlignment="1">
      <alignment horizontal="center" wrapText="1"/>
    </xf>
    <xf numFmtId="0" fontId="13" fillId="4" borderId="0" xfId="0" applyFont="1" applyFill="1" applyAlignment="1">
      <alignment horizontal="center"/>
    </xf>
    <xf numFmtId="164" fontId="9" fillId="7" borderId="2" xfId="0" applyNumberFormat="1" applyFont="1" applyFill="1" applyBorder="1" applyAlignment="1">
      <alignment horizontal="center" vertical="center"/>
    </xf>
    <xf numFmtId="3" fontId="9" fillId="7" borderId="2" xfId="0" applyNumberFormat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4" fontId="8" fillId="0" borderId="2" xfId="0" applyNumberFormat="1" applyFont="1" applyBorder="1" applyAlignment="1">
      <alignment horizontal="center" vertical="center" wrapText="1"/>
    </xf>
    <xf numFmtId="1" fontId="9" fillId="7" borderId="2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4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1" fontId="4" fillId="6" borderId="2" xfId="0" applyNumberFormat="1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/>
    </xf>
    <xf numFmtId="4" fontId="0" fillId="12" borderId="0" xfId="0" applyNumberFormat="1" applyFill="1" applyAlignment="1">
      <alignment horizontal="center"/>
    </xf>
    <xf numFmtId="4" fontId="4" fillId="0" borderId="2" xfId="0" applyNumberFormat="1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/>
    </xf>
    <xf numFmtId="3" fontId="14" fillId="0" borderId="4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0" fontId="0" fillId="13" borderId="4" xfId="0" applyFill="1" applyBorder="1" applyAlignment="1">
      <alignment horizontal="center"/>
    </xf>
    <xf numFmtId="4" fontId="12" fillId="13" borderId="4" xfId="0" applyNumberFormat="1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0" fontId="6" fillId="14" borderId="4" xfId="0" applyFont="1" applyFill="1" applyBorder="1" applyAlignment="1">
      <alignment horizontal="center" vertical="center" wrapText="1"/>
    </xf>
    <xf numFmtId="4" fontId="7" fillId="14" borderId="4" xfId="0" applyNumberFormat="1" applyFont="1" applyFill="1" applyBorder="1" applyAlignment="1">
      <alignment horizontal="center" vertical="center"/>
    </xf>
    <xf numFmtId="168" fontId="27" fillId="0" borderId="4" xfId="1" applyNumberForma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4" fontId="6" fillId="5" borderId="1" xfId="0" applyNumberFormat="1" applyFont="1" applyFill="1" applyBorder="1" applyAlignment="1">
      <alignment horizontal="center" vertical="center" wrapText="1"/>
    </xf>
    <xf numFmtId="0" fontId="16" fillId="14" borderId="4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9" fillId="17" borderId="4" xfId="0" applyFont="1" applyFill="1" applyBorder="1" applyAlignment="1">
      <alignment horizontal="center" vertical="center" wrapText="1"/>
    </xf>
    <xf numFmtId="0" fontId="19" fillId="18" borderId="4" xfId="0" applyFont="1" applyFill="1" applyBorder="1" applyAlignment="1">
      <alignment horizontal="center" vertical="center" wrapText="1"/>
    </xf>
    <xf numFmtId="0" fontId="19" fillId="19" borderId="4" xfId="0" applyFont="1" applyFill="1" applyBorder="1" applyAlignment="1">
      <alignment horizontal="center" vertical="center" wrapText="1"/>
    </xf>
    <xf numFmtId="0" fontId="19" fillId="20" borderId="4" xfId="0" applyFont="1" applyFill="1" applyBorder="1" applyAlignment="1">
      <alignment horizontal="center" vertical="center" wrapText="1"/>
    </xf>
    <xf numFmtId="0" fontId="20" fillId="21" borderId="4" xfId="0" applyFont="1" applyFill="1" applyBorder="1" applyAlignment="1">
      <alignment horizontal="center" vertical="top"/>
    </xf>
    <xf numFmtId="0" fontId="6" fillId="23" borderId="4" xfId="0" applyFont="1" applyFill="1" applyBorder="1" applyAlignment="1">
      <alignment horizontal="center" vertical="center" wrapText="1"/>
    </xf>
    <xf numFmtId="4" fontId="6" fillId="23" borderId="4" xfId="0" applyNumberFormat="1" applyFont="1" applyFill="1" applyBorder="1" applyAlignment="1">
      <alignment horizontal="center" vertical="center"/>
    </xf>
    <xf numFmtId="4" fontId="7" fillId="23" borderId="4" xfId="0" applyNumberFormat="1" applyFont="1" applyFill="1" applyBorder="1" applyAlignment="1">
      <alignment horizontal="center" vertical="center"/>
    </xf>
    <xf numFmtId="0" fontId="0" fillId="24" borderId="4" xfId="0" applyFill="1" applyBorder="1" applyAlignment="1">
      <alignment horizontal="center"/>
    </xf>
    <xf numFmtId="0" fontId="0" fillId="25" borderId="4" xfId="0" applyFill="1" applyBorder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4" fontId="4" fillId="26" borderId="2" xfId="0" applyNumberFormat="1" applyFont="1" applyFill="1" applyBorder="1" applyAlignment="1">
      <alignment horizontal="center" vertical="center"/>
    </xf>
    <xf numFmtId="0" fontId="0" fillId="26" borderId="0" xfId="0" applyFill="1" applyAlignment="1">
      <alignment horizontal="center"/>
    </xf>
    <xf numFmtId="4" fontId="0" fillId="26" borderId="0" xfId="0" applyNumberFormat="1" applyFill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0" fontId="22" fillId="22" borderId="4" xfId="0" applyFont="1" applyFill="1" applyBorder="1" applyAlignment="1">
      <alignment horizontal="center" vertical="center" wrapText="1"/>
    </xf>
    <xf numFmtId="0" fontId="22" fillId="23" borderId="4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21" fillId="22" borderId="4" xfId="0" applyFont="1" applyFill="1" applyBorder="1" applyAlignment="1">
      <alignment horizontal="center" vertical="center" wrapText="1"/>
    </xf>
    <xf numFmtId="0" fontId="19" fillId="15" borderId="4" xfId="0" applyFont="1" applyFill="1" applyBorder="1" applyAlignment="1">
      <alignment horizontal="center" vertical="center" wrapText="1"/>
    </xf>
    <xf numFmtId="0" fontId="17" fillId="15" borderId="4" xfId="0" applyFont="1" applyFill="1" applyBorder="1" applyAlignment="1">
      <alignment horizontal="center" vertical="center" wrapText="1"/>
    </xf>
    <xf numFmtId="0" fontId="18" fillId="16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F5FAFF"/>
      <rgbColor rgb="FF800000"/>
      <rgbColor rgb="FF008000"/>
      <rgbColor rgb="FF000080"/>
      <rgbColor rgb="FF7F6000"/>
      <rgbColor rgb="FF800080"/>
      <rgbColor rgb="FF1E7145"/>
      <rgbColor rgb="FFBFBFBF"/>
      <rgbColor rgb="FF808080"/>
      <rgbColor rgb="FF558ED5"/>
      <rgbColor rgb="FF993366"/>
      <rgbColor rgb="FFFFF2CC"/>
      <rgbColor rgb="FFDBEEF4"/>
      <rgbColor rgb="FF660066"/>
      <rgbColor rgb="FFD9E2F3"/>
      <rgbColor rgb="FF2E75B6"/>
      <rgbColor rgb="FFBDD7EE"/>
      <rgbColor rgb="FF000080"/>
      <rgbColor rgb="FFFF00FF"/>
      <rgbColor rgb="FFF8F8F8"/>
      <rgbColor rgb="FF00FFFF"/>
      <rgbColor rgb="FF800080"/>
      <rgbColor rgb="FF800000"/>
      <rgbColor rgb="FF366092"/>
      <rgbColor rgb="FF0000FF"/>
      <rgbColor rgb="FF00CCFF"/>
      <rgbColor rgb="FFEBF3FB"/>
      <rgbColor rgb="FFE2EFDA"/>
      <rgbColor rgb="FFFCE8B5"/>
      <rgbColor rgb="FFB4C7E7"/>
      <rgbColor rgb="FFF8CBCB"/>
      <rgbColor rgb="FFD9E1F2"/>
      <rgbColor rgb="FFFAC090"/>
      <rgbColor rgb="FF4472C4"/>
      <rgbColor rgb="FFD6E4F0"/>
      <rgbColor rgb="FFC6E8C6"/>
      <rgbColor rgb="FFFCE4D6"/>
      <rgbColor rgb="FFDEEAF1"/>
      <rgbColor rgb="FFFF6600"/>
      <rgbColor rgb="FF7F7F7F"/>
      <rgbColor rgb="FF999999"/>
      <rgbColor rgb="FF1F3864"/>
      <rgbColor rgb="FF339966"/>
      <rgbColor rgb="FF1F4E78"/>
      <rgbColor rgb="FF555555"/>
      <rgbColor rgb="FF843C0C"/>
      <rgbColor rgb="FF993366"/>
      <rgbColor rgb="FF1F497D"/>
      <rgbColor rgb="FF20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2"/>
  <sheetViews>
    <sheetView tabSelected="1" zoomScale="90" zoomScaleNormal="90" workbookViewId="0">
      <selection activeCell="C7" sqref="C7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7" t="s">
        <v>12</v>
      </c>
    </row>
    <row r="7" spans="1:10" x14ac:dyDescent="0.3">
      <c r="A7" s="6">
        <v>2</v>
      </c>
      <c r="B7" s="6" t="s">
        <v>13</v>
      </c>
      <c r="C7" s="8">
        <f>CGO_PLOT_DIMENSIONS!C23</f>
        <v>4308.12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2483.1</v>
      </c>
      <c r="D8" s="9"/>
      <c r="E8" s="10"/>
    </row>
    <row r="9" spans="1:10" x14ac:dyDescent="0.3">
      <c r="A9" s="6">
        <v>4</v>
      </c>
      <c r="B9" s="6" t="s">
        <v>16</v>
      </c>
      <c r="C9" s="12">
        <v>2080.23</v>
      </c>
      <c r="D9" s="9"/>
      <c r="E9" s="10"/>
    </row>
    <row r="10" spans="1:10" x14ac:dyDescent="0.3">
      <c r="A10" s="6">
        <v>5</v>
      </c>
      <c r="B10" s="6" t="s">
        <v>17</v>
      </c>
      <c r="C10" s="13">
        <v>1711.56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9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CGO_PLOT_DIMENSIONS!I23</f>
        <v>73.2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20678.975999999999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6203.6927999999998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26882.668799999999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CGO_PLOT_DIMENSIONS!H23</f>
        <v>3919.4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11758.2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25382.668799999999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338.43558400000001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378.43558400000001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37.843558399999999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416.27914240000001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14569.769984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11758.2</v>
      </c>
    </row>
    <row r="44" spans="1:13" x14ac:dyDescent="0.3">
      <c r="A44" s="14">
        <v>9</v>
      </c>
      <c r="B44" s="14" t="s">
        <v>51</v>
      </c>
      <c r="C44" s="27">
        <f>C42-C43</f>
        <v>2811.5699839999997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2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2483.1</v>
      </c>
      <c r="D49" s="33">
        <v>24</v>
      </c>
      <c r="E49" s="34">
        <f>24/3.3</f>
        <v>7.2727272727272734</v>
      </c>
      <c r="F49" s="35">
        <f>MIN(ROUNDUP(C44 /C49, 0), 10)</f>
        <v>2</v>
      </c>
      <c r="G49" s="35">
        <f>C49*F49</f>
        <v>4966.2</v>
      </c>
      <c r="H49" s="20">
        <f>F49* $C$18</f>
        <v>4.8</v>
      </c>
      <c r="I49" s="36">
        <f>D49-H49</f>
        <v>19.2</v>
      </c>
      <c r="J49" s="37">
        <f>INT(I49/C17)</f>
        <v>5</v>
      </c>
      <c r="K49" s="38">
        <f>J49 * $C$17</f>
        <v>16.5</v>
      </c>
      <c r="L49" s="20">
        <f>C49*J49</f>
        <v>12415.5</v>
      </c>
      <c r="M49" s="20">
        <f>( F49* C18 ) + ( J49 * C17 )</f>
        <v>21.3</v>
      </c>
    </row>
    <row r="50" spans="1:13" x14ac:dyDescent="0.3">
      <c r="A50" s="6" t="s">
        <v>67</v>
      </c>
      <c r="B50" s="6" t="s">
        <v>4</v>
      </c>
      <c r="C50" s="18">
        <f>C9</f>
        <v>2080.23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8320.92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1711.56</v>
      </c>
      <c r="D51" s="39">
        <f>$C$15 - 37.5</f>
        <v>35.700000000000003</v>
      </c>
      <c r="E51" s="9">
        <f>INT(D51/C17)</f>
        <v>10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35.700000000000003</v>
      </c>
      <c r="J51" s="37">
        <f>INT(I51/C17)</f>
        <v>10</v>
      </c>
      <c r="K51" s="41">
        <f>J51 * $C$17</f>
        <v>33</v>
      </c>
      <c r="L51" s="20">
        <f>C51*J51</f>
        <v>17115.599999999999</v>
      </c>
      <c r="M51" s="20">
        <f>( F51* C18 ) + ( J51 * C17 )</f>
        <v>33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2</v>
      </c>
      <c r="G52" s="44">
        <f>SUM(G49:G51)</f>
        <v>4966.2</v>
      </c>
      <c r="H52" s="19">
        <f>SUM(H49:H51)</f>
        <v>4.8</v>
      </c>
      <c r="I52" s="45" t="s">
        <v>71</v>
      </c>
      <c r="J52" s="46">
        <f>SUM(J49:J51)</f>
        <v>19</v>
      </c>
      <c r="K52" s="46">
        <f>SUM(K49:K51)</f>
        <v>62.7</v>
      </c>
      <c r="L52" s="19">
        <f>L49+L50+L51</f>
        <v>37852.019999999997</v>
      </c>
      <c r="M52" s="47">
        <f>SUM(M49:M51)</f>
        <v>67.5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73.2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2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4.8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68.25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67.650000000000006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62.7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20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19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21</v>
      </c>
      <c r="D67" s="14"/>
    </row>
    <row r="68" spans="1:16" x14ac:dyDescent="0.3">
      <c r="A68" s="14">
        <v>13</v>
      </c>
      <c r="B68" s="51" t="s">
        <v>84</v>
      </c>
      <c r="C68" s="52">
        <f>C24</f>
        <v>26882.668799999999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37852.019999999997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2483.1</v>
      </c>
      <c r="D75" s="33">
        <v>24</v>
      </c>
      <c r="E75" s="34">
        <f>24/3.3</f>
        <v>7.2727272727272734</v>
      </c>
      <c r="F75" s="35">
        <f>F49</f>
        <v>2</v>
      </c>
      <c r="G75" s="35">
        <f>G49</f>
        <v>4966.2</v>
      </c>
      <c r="H75" s="20">
        <f>H49</f>
        <v>4.8</v>
      </c>
      <c r="I75" s="36">
        <f>D75-H75</f>
        <v>19.2</v>
      </c>
      <c r="J75" s="37">
        <f>INT(I75/C17)</f>
        <v>5</v>
      </c>
      <c r="K75" s="38">
        <f>J75*C75</f>
        <v>12415.5</v>
      </c>
      <c r="L75" s="20">
        <f>MIN(C24, K75)</f>
        <v>12415.5</v>
      </c>
      <c r="M75" s="20">
        <f>ROUNDDOWN((L75/C75),0)</f>
        <v>5</v>
      </c>
      <c r="N75" s="1">
        <f>C17*M75</f>
        <v>16.5</v>
      </c>
      <c r="O75" s="54">
        <f>H75+N75</f>
        <v>21.3</v>
      </c>
    </row>
    <row r="76" spans="1:16" x14ac:dyDescent="0.3">
      <c r="A76" s="6" t="s">
        <v>67</v>
      </c>
      <c r="B76" s="6" t="s">
        <v>4</v>
      </c>
      <c r="C76" s="18">
        <f>C9</f>
        <v>2080.23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8320.92</v>
      </c>
      <c r="L76" s="20">
        <f>MAX(0, MIN(K76, C24 - L75))</f>
        <v>8320.92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1711.56</v>
      </c>
      <c r="D77" s="39">
        <f>$C$15 - 37.5</f>
        <v>35.700000000000003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35.700000000000003</v>
      </c>
      <c r="J77" s="37">
        <f>INT(I77/C17)</f>
        <v>10</v>
      </c>
      <c r="K77" s="38">
        <f t="shared" si="1"/>
        <v>17115.599999999999</v>
      </c>
      <c r="L77" s="20">
        <f>MAX(0, MIN(K77, C24 - L75 - L76))</f>
        <v>6146.2487999999994</v>
      </c>
      <c r="M77" s="20">
        <f t="shared" si="2"/>
        <v>3</v>
      </c>
      <c r="N77" s="1">
        <f>C17*M77</f>
        <v>9.8999999999999986</v>
      </c>
      <c r="O77" s="54">
        <f t="shared" si="3"/>
        <v>9.8999999999999986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2</v>
      </c>
      <c r="G78" s="44">
        <f>SUM(G75:G77)</f>
        <v>4966.2</v>
      </c>
      <c r="H78" s="19">
        <f>SUM(H75:H77)</f>
        <v>4.8</v>
      </c>
      <c r="I78" s="45" t="s">
        <v>71</v>
      </c>
      <c r="J78" s="46">
        <f>SUM(J75:J77)</f>
        <v>19</v>
      </c>
      <c r="K78" s="46">
        <f>SUM(K75:K77)</f>
        <v>37852.019999999997</v>
      </c>
      <c r="L78" s="19">
        <f>L75+L76+L77</f>
        <v>26882.668799999999</v>
      </c>
      <c r="M78" s="75">
        <f>SUM(M75:M77)</f>
        <v>12</v>
      </c>
      <c r="N78" s="76">
        <f>SUM(N75:N77)</f>
        <v>39.599999999999994</v>
      </c>
      <c r="O78" s="77">
        <f>SUM(O75:O77)</f>
        <v>44.4</v>
      </c>
    </row>
    <row r="80" spans="1:16" x14ac:dyDescent="0.3">
      <c r="L80" s="1" t="s">
        <v>130</v>
      </c>
      <c r="M80" s="37">
        <f>F78</f>
        <v>2</v>
      </c>
    </row>
    <row r="81" spans="12:13" x14ac:dyDescent="0.3">
      <c r="L81" s="1" t="s">
        <v>131</v>
      </c>
      <c r="M81" s="54">
        <f>M78</f>
        <v>12</v>
      </c>
    </row>
    <row r="82" spans="12:13" x14ac:dyDescent="0.3">
      <c r="L82" s="1" t="s">
        <v>132</v>
      </c>
      <c r="M82" s="37">
        <f>SUM(M80:M81)</f>
        <v>14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82"/>
  <sheetViews>
    <sheetView zoomScale="90" zoomScaleNormal="90" workbookViewId="0">
      <selection activeCell="C8" sqref="C8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5" t="s">
        <v>86</v>
      </c>
    </row>
    <row r="7" spans="1:10" x14ac:dyDescent="0.3">
      <c r="A7" s="6">
        <v>2</v>
      </c>
      <c r="B7" s="6" t="s">
        <v>13</v>
      </c>
      <c r="C7" s="56">
        <f>CGO_PLOT_DIMENSIONS!C22</f>
        <v>3785.56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2158.02</v>
      </c>
      <c r="D8" s="9"/>
      <c r="E8" s="10"/>
    </row>
    <row r="9" spans="1:10" x14ac:dyDescent="0.3">
      <c r="A9" s="6">
        <v>4</v>
      </c>
      <c r="B9" s="6" t="s">
        <v>16</v>
      </c>
      <c r="C9" s="12">
        <v>1765.12</v>
      </c>
      <c r="D9" s="9"/>
      <c r="E9" s="10"/>
    </row>
    <row r="10" spans="1:10" x14ac:dyDescent="0.3">
      <c r="A10" s="6">
        <v>5</v>
      </c>
      <c r="B10" s="6" t="s">
        <v>17</v>
      </c>
      <c r="C10" s="13">
        <v>1408.21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9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CGO_PLOT_DIMENSIONS!I22</f>
        <v>73.2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18170.687999999998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5451.2063999999991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23621.894399999997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CGO_PLOT_DIMENSIONS!H22</f>
        <v>3425.39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10276.17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22121.894399999997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294.95859199999995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334.95859199999995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33.495859199999998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368.45445119999994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12895.905791999998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10276.17</v>
      </c>
    </row>
    <row r="44" spans="1:13" x14ac:dyDescent="0.3">
      <c r="A44" s="14">
        <v>9</v>
      </c>
      <c r="B44" s="14" t="s">
        <v>51</v>
      </c>
      <c r="C44" s="27">
        <f>C42-C43</f>
        <v>2619.7357919999977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2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2158.02</v>
      </c>
      <c r="D49" s="33">
        <v>24</v>
      </c>
      <c r="E49" s="34">
        <f>24/3.3</f>
        <v>7.2727272727272734</v>
      </c>
      <c r="F49" s="35">
        <f>MIN(ROUNDUP(C44 /C49, 0), 10)</f>
        <v>2</v>
      </c>
      <c r="G49" s="35">
        <f>C49*F49</f>
        <v>4316.04</v>
      </c>
      <c r="H49" s="20">
        <f>F49* $C$18</f>
        <v>4.8</v>
      </c>
      <c r="I49" s="36">
        <f>D49-H49</f>
        <v>19.2</v>
      </c>
      <c r="J49" s="37">
        <f>INT(I49/C17)</f>
        <v>5</v>
      </c>
      <c r="K49" s="38">
        <f>J49 * $C$17</f>
        <v>16.5</v>
      </c>
      <c r="L49" s="20">
        <f>C49*J49</f>
        <v>10790.1</v>
      </c>
      <c r="M49" s="20">
        <f>( F49* C18 ) + ( J49 * C17 )</f>
        <v>21.3</v>
      </c>
    </row>
    <row r="50" spans="1:13" x14ac:dyDescent="0.3">
      <c r="A50" s="6" t="s">
        <v>67</v>
      </c>
      <c r="B50" s="6" t="s">
        <v>4</v>
      </c>
      <c r="C50" s="18">
        <f>C9</f>
        <v>1765.12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7060.48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1408.21</v>
      </c>
      <c r="D51" s="39">
        <f>$C$15 - 37.5</f>
        <v>35.700000000000003</v>
      </c>
      <c r="E51" s="9">
        <f>INT(D51/C17)</f>
        <v>10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35.700000000000003</v>
      </c>
      <c r="J51" s="37">
        <f>INT(I51/C17)</f>
        <v>10</v>
      </c>
      <c r="K51" s="41">
        <f>J51 * $C$17</f>
        <v>33</v>
      </c>
      <c r="L51" s="20">
        <f>C51*J51</f>
        <v>14082.1</v>
      </c>
      <c r="M51" s="20">
        <f>( F51* C18 ) + ( J51 * C17 )</f>
        <v>33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2</v>
      </c>
      <c r="G52" s="44">
        <f>SUM(G49:G51)</f>
        <v>4316.04</v>
      </c>
      <c r="H52" s="19">
        <f>SUM(H49:H51)</f>
        <v>4.8</v>
      </c>
      <c r="I52" s="45" t="s">
        <v>71</v>
      </c>
      <c r="J52" s="46">
        <f>SUM(J49:J51)</f>
        <v>19</v>
      </c>
      <c r="K52" s="46">
        <f>SUM(K49:K51)</f>
        <v>62.7</v>
      </c>
      <c r="L52" s="19">
        <f>L49+L50+L51</f>
        <v>31932.68</v>
      </c>
      <c r="M52" s="47">
        <f>SUM(M49:M51)</f>
        <v>67.5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73.2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2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4.8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68.25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67.650000000000006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62.7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20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19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21</v>
      </c>
      <c r="D67" s="14"/>
    </row>
    <row r="68" spans="1:16" x14ac:dyDescent="0.3">
      <c r="A68" s="14">
        <v>13</v>
      </c>
      <c r="B68" s="51" t="s">
        <v>84</v>
      </c>
      <c r="C68" s="52">
        <f>C24</f>
        <v>23621.894399999997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31932.68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2158.02</v>
      </c>
      <c r="D75" s="33">
        <v>24</v>
      </c>
      <c r="E75" s="34">
        <f>24/3.3</f>
        <v>7.2727272727272734</v>
      </c>
      <c r="F75" s="35">
        <f>F49</f>
        <v>2</v>
      </c>
      <c r="G75" s="35">
        <f>G49</f>
        <v>4316.04</v>
      </c>
      <c r="H75" s="20">
        <f>H49</f>
        <v>4.8</v>
      </c>
      <c r="I75" s="36">
        <f>D75-H75</f>
        <v>19.2</v>
      </c>
      <c r="J75" s="37">
        <f>INT(I75/C17)</f>
        <v>5</v>
      </c>
      <c r="K75" s="38">
        <f>J75*C75</f>
        <v>10790.1</v>
      </c>
      <c r="L75" s="20">
        <f>MIN(C24, K75)</f>
        <v>10790.1</v>
      </c>
      <c r="M75" s="20">
        <f>ROUNDDOWN((L75/C75),0)</f>
        <v>5</v>
      </c>
      <c r="N75" s="1">
        <f>C17*M75</f>
        <v>16.5</v>
      </c>
      <c r="O75" s="54">
        <f>H75+N75</f>
        <v>21.3</v>
      </c>
    </row>
    <row r="76" spans="1:16" x14ac:dyDescent="0.3">
      <c r="A76" s="6" t="s">
        <v>67</v>
      </c>
      <c r="B76" s="6" t="s">
        <v>4</v>
      </c>
      <c r="C76" s="18">
        <f>C9</f>
        <v>1765.12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7060.48</v>
      </c>
      <c r="L76" s="20">
        <f>MAX(0, MIN(K76, C24 - L75))</f>
        <v>7060.48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1408.21</v>
      </c>
      <c r="D77" s="39">
        <f>$C$15 - 37.5</f>
        <v>35.700000000000003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35.700000000000003</v>
      </c>
      <c r="J77" s="37">
        <f>INT(I77/C17)</f>
        <v>10</v>
      </c>
      <c r="K77" s="38">
        <f t="shared" si="1"/>
        <v>14082.1</v>
      </c>
      <c r="L77" s="20">
        <f>MAX(0, MIN(K77, C24 - L75 - L76))</f>
        <v>5771.3143999999975</v>
      </c>
      <c r="M77" s="20">
        <f t="shared" si="2"/>
        <v>4</v>
      </c>
      <c r="N77" s="1">
        <f>C17*M77</f>
        <v>13.2</v>
      </c>
      <c r="O77" s="54">
        <f t="shared" si="3"/>
        <v>13.2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2</v>
      </c>
      <c r="G78" s="44">
        <f>SUM(G75:G77)</f>
        <v>4316.04</v>
      </c>
      <c r="H78" s="19">
        <f>SUM(H75:H77)</f>
        <v>4.8</v>
      </c>
      <c r="I78" s="45" t="s">
        <v>71</v>
      </c>
      <c r="J78" s="46">
        <f>SUM(J75:J77)</f>
        <v>19</v>
      </c>
      <c r="K78" s="46">
        <f>SUM(K75:K77)</f>
        <v>31932.68</v>
      </c>
      <c r="L78" s="19">
        <f>L75+L76+L77</f>
        <v>23621.894399999997</v>
      </c>
      <c r="M78" s="75">
        <f>SUM(M75:M77)</f>
        <v>13</v>
      </c>
      <c r="N78" s="76">
        <f>SUM(N75:N77)</f>
        <v>42.9</v>
      </c>
      <c r="O78" s="77">
        <f>SUM(O75:O77)</f>
        <v>47.7</v>
      </c>
    </row>
    <row r="80" spans="1:16" x14ac:dyDescent="0.3">
      <c r="L80" s="1" t="s">
        <v>130</v>
      </c>
      <c r="M80" s="37">
        <f>F78</f>
        <v>2</v>
      </c>
    </row>
    <row r="81" spans="12:13" x14ac:dyDescent="0.3">
      <c r="L81" s="1" t="s">
        <v>131</v>
      </c>
      <c r="M81" s="54">
        <f>M78</f>
        <v>13</v>
      </c>
    </row>
    <row r="82" spans="12:13" x14ac:dyDescent="0.3">
      <c r="L82" s="1" t="s">
        <v>132</v>
      </c>
      <c r="M82" s="37">
        <f>SUM(M80:M81)</f>
        <v>15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82"/>
  <sheetViews>
    <sheetView topLeftCell="A30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7" t="s">
        <v>87</v>
      </c>
    </row>
    <row r="7" spans="1:10" x14ac:dyDescent="0.3">
      <c r="A7" s="6">
        <v>2</v>
      </c>
      <c r="B7" s="6" t="s">
        <v>13</v>
      </c>
      <c r="C7" s="8">
        <v>2104.16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965.49</v>
      </c>
      <c r="D8" s="9"/>
      <c r="E8" s="10"/>
    </row>
    <row r="9" spans="1:10" x14ac:dyDescent="0.3">
      <c r="A9" s="6">
        <v>4</v>
      </c>
      <c r="B9" s="6" t="s">
        <v>16</v>
      </c>
      <c r="C9" s="12">
        <v>654.16</v>
      </c>
      <c r="D9" s="9"/>
      <c r="E9" s="10"/>
    </row>
    <row r="10" spans="1:10" x14ac:dyDescent="0.3">
      <c r="A10" s="6">
        <v>5</v>
      </c>
      <c r="B10" s="6" t="s">
        <v>17</v>
      </c>
      <c r="C10" s="13">
        <v>378.82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9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CGO_PLOT_DIMENSIONS!I21</f>
        <v>73.2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10099.967999999999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3029.9903999999997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13129.9584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CGO_PLOT_DIMENSIONS!H21</f>
        <v>1825.49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5476.47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11629.9584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155.066112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195.066112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19.506611200000002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214.57272320000001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7510.0453120000002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5476.47</v>
      </c>
    </row>
    <row r="44" spans="1:13" x14ac:dyDescent="0.3">
      <c r="A44" s="14">
        <v>9</v>
      </c>
      <c r="B44" s="14" t="s">
        <v>51</v>
      </c>
      <c r="C44" s="27">
        <f>C42-C43</f>
        <v>2033.5753119999999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3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965.49</v>
      </c>
      <c r="D49" s="33">
        <v>24</v>
      </c>
      <c r="E49" s="34">
        <f>24/3.3</f>
        <v>7.2727272727272734</v>
      </c>
      <c r="F49" s="35">
        <f>MIN(ROUNDUP(C44 /C49, 0), 10)</f>
        <v>3</v>
      </c>
      <c r="G49" s="35">
        <f>C49*F49</f>
        <v>2896.4700000000003</v>
      </c>
      <c r="H49" s="20">
        <f>F49* $C$18</f>
        <v>7.1999999999999993</v>
      </c>
      <c r="I49" s="36">
        <f>D49-H49</f>
        <v>16.8</v>
      </c>
      <c r="J49" s="37">
        <f>INT(I49/C17)</f>
        <v>5</v>
      </c>
      <c r="K49" s="38">
        <f>J49 * $C$17</f>
        <v>16.5</v>
      </c>
      <c r="L49" s="20">
        <f>C49*J49</f>
        <v>4827.45</v>
      </c>
      <c r="M49" s="20">
        <f>( F49* C18 ) + ( J49 * C17 )</f>
        <v>23.7</v>
      </c>
    </row>
    <row r="50" spans="1:13" x14ac:dyDescent="0.3">
      <c r="A50" s="6" t="s">
        <v>67</v>
      </c>
      <c r="B50" s="6" t="s">
        <v>4</v>
      </c>
      <c r="C50" s="18">
        <f>C9</f>
        <v>654.16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2616.64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378.82</v>
      </c>
      <c r="D51" s="39">
        <f>$C$15 - 37.5</f>
        <v>35.700000000000003</v>
      </c>
      <c r="E51" s="9">
        <f>INT(D51/C17)</f>
        <v>10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35.700000000000003</v>
      </c>
      <c r="J51" s="37">
        <f>INT(I51/C17)</f>
        <v>10</v>
      </c>
      <c r="K51" s="41">
        <f>J51 * $C$17</f>
        <v>33</v>
      </c>
      <c r="L51" s="20">
        <f>C51*J51</f>
        <v>3788.2</v>
      </c>
      <c r="M51" s="20">
        <f>( F51* C18 ) + ( J51 * C17 )</f>
        <v>33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3</v>
      </c>
      <c r="G52" s="44">
        <f>SUM(G49:G51)</f>
        <v>2896.4700000000003</v>
      </c>
      <c r="H52" s="19">
        <f>SUM(H49:H51)</f>
        <v>7.1999999999999993</v>
      </c>
      <c r="I52" s="45" t="s">
        <v>71</v>
      </c>
      <c r="J52" s="46">
        <f>SUM(J49:J51)</f>
        <v>19</v>
      </c>
      <c r="K52" s="46">
        <f>SUM(K49:K51)</f>
        <v>62.7</v>
      </c>
      <c r="L52" s="19">
        <f>L49+L50+L51</f>
        <v>11232.29</v>
      </c>
      <c r="M52" s="47">
        <f>SUM(M49:M51)</f>
        <v>69.900000000000006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73.2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3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7.1999999999999993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65.850000000000009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70.05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62.7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19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19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22</v>
      </c>
      <c r="D67" s="14"/>
    </row>
    <row r="68" spans="1:16" x14ac:dyDescent="0.3">
      <c r="A68" s="14">
        <v>13</v>
      </c>
      <c r="B68" s="51" t="s">
        <v>84</v>
      </c>
      <c r="C68" s="52">
        <f>C24</f>
        <v>13129.9584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11232.29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965.49</v>
      </c>
      <c r="D75" s="33">
        <v>24</v>
      </c>
      <c r="E75" s="34">
        <f>24/3.3</f>
        <v>7.2727272727272734</v>
      </c>
      <c r="F75" s="35">
        <f>F49</f>
        <v>3</v>
      </c>
      <c r="G75" s="35">
        <f>G49</f>
        <v>2896.4700000000003</v>
      </c>
      <c r="H75" s="20">
        <f>H49</f>
        <v>7.1999999999999993</v>
      </c>
      <c r="I75" s="36">
        <f>D75-H75</f>
        <v>16.8</v>
      </c>
      <c r="J75" s="37">
        <f>INT(I75/C17)</f>
        <v>5</v>
      </c>
      <c r="K75" s="38">
        <f>J75*C75</f>
        <v>4827.45</v>
      </c>
      <c r="L75" s="20">
        <f>MIN(C24, K75)</f>
        <v>4827.45</v>
      </c>
      <c r="M75" s="20">
        <f>ROUNDDOWN((L75/C75),0)</f>
        <v>5</v>
      </c>
      <c r="N75" s="1">
        <f>C17*M75</f>
        <v>16.5</v>
      </c>
      <c r="O75" s="54">
        <f>H75+N75</f>
        <v>23.7</v>
      </c>
    </row>
    <row r="76" spans="1:16" x14ac:dyDescent="0.3">
      <c r="A76" s="6" t="s">
        <v>67</v>
      </c>
      <c r="B76" s="6" t="s">
        <v>4</v>
      </c>
      <c r="C76" s="18">
        <f>C9</f>
        <v>654.16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2616.64</v>
      </c>
      <c r="L76" s="20">
        <f>MAX(0, MIN(K76, C24 - L75))</f>
        <v>2616.64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378.82</v>
      </c>
      <c r="D77" s="39">
        <f>$C$15 - 37.5</f>
        <v>35.700000000000003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35.700000000000003</v>
      </c>
      <c r="J77" s="37">
        <f>INT(I77/C17)</f>
        <v>10</v>
      </c>
      <c r="K77" s="38">
        <f t="shared" si="1"/>
        <v>3788.2</v>
      </c>
      <c r="L77" s="20">
        <f>MAX(0, MIN(K77, C24 - L75 - L76))</f>
        <v>3788.2</v>
      </c>
      <c r="M77" s="20">
        <f t="shared" si="2"/>
        <v>10</v>
      </c>
      <c r="N77" s="1">
        <f>C17*M77</f>
        <v>33</v>
      </c>
      <c r="O77" s="54">
        <f t="shared" si="3"/>
        <v>33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3</v>
      </c>
      <c r="G78" s="44">
        <f>SUM(G75:G77)</f>
        <v>2896.4700000000003</v>
      </c>
      <c r="H78" s="19">
        <f>SUM(H75:H77)</f>
        <v>7.1999999999999993</v>
      </c>
      <c r="I78" s="45" t="s">
        <v>71</v>
      </c>
      <c r="J78" s="46">
        <f>SUM(J75:J77)</f>
        <v>19</v>
      </c>
      <c r="K78" s="46">
        <f>SUM(K75:K77)</f>
        <v>11232.29</v>
      </c>
      <c r="L78" s="19">
        <f>L75+L76+L77</f>
        <v>11232.29</v>
      </c>
      <c r="M78" s="75">
        <f>SUM(M75:M77)</f>
        <v>19</v>
      </c>
      <c r="N78" s="76">
        <f>SUM(N75:N77)</f>
        <v>62.7</v>
      </c>
      <c r="O78" s="77">
        <f>SUM(O75:O77)</f>
        <v>69.900000000000006</v>
      </c>
    </row>
    <row r="80" spans="1:16" x14ac:dyDescent="0.3">
      <c r="L80" s="1" t="s">
        <v>130</v>
      </c>
      <c r="M80" s="37">
        <f>F78</f>
        <v>3</v>
      </c>
    </row>
    <row r="81" spans="12:13" x14ac:dyDescent="0.3">
      <c r="L81" s="1" t="s">
        <v>131</v>
      </c>
      <c r="M81" s="54">
        <f>M78</f>
        <v>19</v>
      </c>
    </row>
    <row r="82" spans="12:13" x14ac:dyDescent="0.3">
      <c r="L82" s="1" t="s">
        <v>132</v>
      </c>
      <c r="M82" s="37">
        <f>SUM(M80:M81)</f>
        <v>22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2"/>
  <sheetViews>
    <sheetView topLeftCell="A41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5" t="s">
        <v>88</v>
      </c>
    </row>
    <row r="7" spans="1:10" x14ac:dyDescent="0.3">
      <c r="A7" s="6">
        <v>2</v>
      </c>
      <c r="B7" s="6" t="s">
        <v>13</v>
      </c>
      <c r="C7" s="56">
        <v>3169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1726.18</v>
      </c>
      <c r="D8" s="9"/>
      <c r="E8" s="10"/>
    </row>
    <row r="9" spans="1:10" x14ac:dyDescent="0.3">
      <c r="A9" s="6">
        <v>4</v>
      </c>
      <c r="B9" s="6" t="s">
        <v>16</v>
      </c>
      <c r="C9" s="12">
        <v>1315.74</v>
      </c>
      <c r="D9" s="9"/>
      <c r="E9" s="10"/>
    </row>
    <row r="10" spans="1:10" x14ac:dyDescent="0.3">
      <c r="A10" s="6">
        <v>5</v>
      </c>
      <c r="B10" s="6" t="s">
        <v>17</v>
      </c>
      <c r="C10" s="13">
        <v>941.31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10.1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CGO_PLOT_DIMENSIONS!I12</f>
        <v>153.72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32006.899999999998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9602.07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41608.97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CGO_PLOT_DIMENSIONS!H12</f>
        <v>2827.54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8482.619999999999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40108.97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534.78626666666673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574.78626666666673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57.478626666666678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632.26489333333336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22129.271266666667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8482.619999999999</v>
      </c>
    </row>
    <row r="44" spans="1:13" x14ac:dyDescent="0.3">
      <c r="A44" s="14">
        <v>9</v>
      </c>
      <c r="B44" s="14" t="s">
        <v>51</v>
      </c>
      <c r="C44" s="27">
        <f>C42-C43</f>
        <v>13646.651266666668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8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1726.18</v>
      </c>
      <c r="D49" s="33">
        <v>24</v>
      </c>
      <c r="E49" s="34">
        <f>24/3.3</f>
        <v>7.2727272727272734</v>
      </c>
      <c r="F49" s="35">
        <f>MIN(ROUNDUP(C44 /C49, 0), 10)</f>
        <v>8</v>
      </c>
      <c r="G49" s="35">
        <f>C49*F49</f>
        <v>13809.44</v>
      </c>
      <c r="H49" s="20">
        <f>F49* $C$18</f>
        <v>19.2</v>
      </c>
      <c r="I49" s="36">
        <f>D49-H49</f>
        <v>4.8000000000000007</v>
      </c>
      <c r="J49" s="37">
        <f>INT(I49/C17)</f>
        <v>1</v>
      </c>
      <c r="K49" s="38">
        <f>J49 * $C$17</f>
        <v>3.3</v>
      </c>
      <c r="L49" s="20">
        <f>C49*J49</f>
        <v>1726.18</v>
      </c>
      <c r="M49" s="20">
        <f>( F49* C18 ) + ( J49 * C17 )</f>
        <v>22.5</v>
      </c>
    </row>
    <row r="50" spans="1:13" x14ac:dyDescent="0.3">
      <c r="A50" s="6" t="s">
        <v>67</v>
      </c>
      <c r="B50" s="6" t="s">
        <v>4</v>
      </c>
      <c r="C50" s="18">
        <f>C9</f>
        <v>1315.74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5262.96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941.31</v>
      </c>
      <c r="D51" s="39">
        <f>$C$15 - 37.5</f>
        <v>116.22</v>
      </c>
      <c r="E51" s="9">
        <f>INT(D51/C17)</f>
        <v>35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116.22</v>
      </c>
      <c r="J51" s="37">
        <f>INT(I51/C17)</f>
        <v>35</v>
      </c>
      <c r="K51" s="41">
        <f>J51 * $C$17</f>
        <v>115.5</v>
      </c>
      <c r="L51" s="20">
        <f>C51*J51</f>
        <v>32945.85</v>
      </c>
      <c r="M51" s="20">
        <f>( F51* C18 ) + ( J51 * C17 )</f>
        <v>115.5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8</v>
      </c>
      <c r="G52" s="44">
        <f>SUM(G49:G51)</f>
        <v>13809.44</v>
      </c>
      <c r="H52" s="19">
        <f>SUM(H49:H51)</f>
        <v>19.2</v>
      </c>
      <c r="I52" s="45" t="s">
        <v>71</v>
      </c>
      <c r="J52" s="46">
        <f>SUM(J49:J51)</f>
        <v>40</v>
      </c>
      <c r="K52" s="46">
        <f>SUM(K49:K51)</f>
        <v>132</v>
      </c>
      <c r="L52" s="19">
        <f>L49+L50+L51</f>
        <v>39934.99</v>
      </c>
      <c r="M52" s="47">
        <f>SUM(M49:M51)</f>
        <v>151.19999999999999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153.72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8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19.2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134.37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151.35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132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40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48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40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48</v>
      </c>
      <c r="D67" s="14"/>
    </row>
    <row r="68" spans="1:16" x14ac:dyDescent="0.3">
      <c r="A68" s="14">
        <v>13</v>
      </c>
      <c r="B68" s="51" t="s">
        <v>84</v>
      </c>
      <c r="C68" s="52">
        <f>C24</f>
        <v>41608.97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39934.99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1726.18</v>
      </c>
      <c r="D75" s="33">
        <v>24</v>
      </c>
      <c r="E75" s="34">
        <f>24/3.3</f>
        <v>7.2727272727272734</v>
      </c>
      <c r="F75" s="35">
        <f>F49</f>
        <v>8</v>
      </c>
      <c r="G75" s="35">
        <f>G49</f>
        <v>13809.44</v>
      </c>
      <c r="H75" s="20">
        <f>H49</f>
        <v>19.2</v>
      </c>
      <c r="I75" s="36">
        <f>D75-H75</f>
        <v>4.8000000000000007</v>
      </c>
      <c r="J75" s="37">
        <f>INT(I75/C17)</f>
        <v>1</v>
      </c>
      <c r="K75" s="38">
        <f>J75*C75</f>
        <v>1726.18</v>
      </c>
      <c r="L75" s="20">
        <f>MIN(C24, K75)</f>
        <v>1726.18</v>
      </c>
      <c r="M75" s="20">
        <f>ROUNDDOWN((L75/C75),0)</f>
        <v>1</v>
      </c>
      <c r="N75" s="1">
        <f>C17*M75</f>
        <v>3.3</v>
      </c>
      <c r="O75" s="54">
        <f>H75+N75</f>
        <v>22.5</v>
      </c>
    </row>
    <row r="76" spans="1:16" x14ac:dyDescent="0.3">
      <c r="A76" s="6" t="s">
        <v>67</v>
      </c>
      <c r="B76" s="6" t="s">
        <v>4</v>
      </c>
      <c r="C76" s="18">
        <f>C9</f>
        <v>1315.74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5262.96</v>
      </c>
      <c r="L76" s="20">
        <f>MAX(0, MIN(K76, C24 - L75))</f>
        <v>5262.96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941.31</v>
      </c>
      <c r="D77" s="39">
        <f>$C$15 - 37.5</f>
        <v>116.22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116.22</v>
      </c>
      <c r="J77" s="37">
        <f>INT(I77/C17)</f>
        <v>35</v>
      </c>
      <c r="K77" s="38">
        <f t="shared" si="1"/>
        <v>32945.85</v>
      </c>
      <c r="L77" s="20">
        <f>MAX(0, MIN(K77, C24 - L75 - L76))</f>
        <v>32945.85</v>
      </c>
      <c r="M77" s="20">
        <f t="shared" si="2"/>
        <v>35</v>
      </c>
      <c r="N77" s="1">
        <f>C17*M77</f>
        <v>115.5</v>
      </c>
      <c r="O77" s="54">
        <f t="shared" si="3"/>
        <v>115.5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8</v>
      </c>
      <c r="G78" s="44">
        <f>SUM(G75:G77)</f>
        <v>13809.44</v>
      </c>
      <c r="H78" s="19">
        <f>SUM(H75:H77)</f>
        <v>19.2</v>
      </c>
      <c r="I78" s="45" t="s">
        <v>71</v>
      </c>
      <c r="J78" s="46">
        <f>SUM(J75:J77)</f>
        <v>40</v>
      </c>
      <c r="K78" s="46">
        <f>SUM(K75:K77)</f>
        <v>39934.99</v>
      </c>
      <c r="L78" s="19">
        <f>L75+L76+L77</f>
        <v>39934.99</v>
      </c>
      <c r="M78" s="75">
        <f>SUM(M75:M77)</f>
        <v>40</v>
      </c>
      <c r="N78" s="76">
        <f>SUM(N75:N77)</f>
        <v>132</v>
      </c>
      <c r="O78" s="77">
        <f>SUM(O75:O77)</f>
        <v>151.19999999999999</v>
      </c>
    </row>
    <row r="80" spans="1:16" x14ac:dyDescent="0.3">
      <c r="L80" s="1" t="s">
        <v>130</v>
      </c>
      <c r="M80" s="37">
        <f>F78</f>
        <v>8</v>
      </c>
    </row>
    <row r="81" spans="12:13" x14ac:dyDescent="0.3">
      <c r="L81" s="1" t="s">
        <v>131</v>
      </c>
      <c r="M81" s="54">
        <f>M78</f>
        <v>40</v>
      </c>
    </row>
    <row r="82" spans="12:13" x14ac:dyDescent="0.3">
      <c r="L82" s="1" t="s">
        <v>132</v>
      </c>
      <c r="M82" s="37">
        <f>SUM(M80:M81)</f>
        <v>48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2"/>
  <sheetViews>
    <sheetView topLeftCell="A26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7" t="s">
        <v>89</v>
      </c>
    </row>
    <row r="7" spans="1:10" x14ac:dyDescent="0.3">
      <c r="A7" s="6">
        <v>2</v>
      </c>
      <c r="B7" s="6" t="s">
        <v>13</v>
      </c>
      <c r="C7" s="8">
        <v>3168.5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1725.79</v>
      </c>
      <c r="D8" s="9"/>
      <c r="E8" s="10"/>
    </row>
    <row r="9" spans="1:10" x14ac:dyDescent="0.3">
      <c r="A9" s="6">
        <v>4</v>
      </c>
      <c r="B9" s="6" t="s">
        <v>16</v>
      </c>
      <c r="C9" s="12">
        <v>1315.32</v>
      </c>
      <c r="D9" s="9"/>
      <c r="E9" s="10"/>
    </row>
    <row r="10" spans="1:10" x14ac:dyDescent="0.3">
      <c r="A10" s="6">
        <v>5</v>
      </c>
      <c r="B10" s="6" t="s">
        <v>17</v>
      </c>
      <c r="C10" s="13">
        <v>940.86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10.1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9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CGO_PLOT_DIMENSIONS!I11</f>
        <v>153.72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32001.85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9600.5549999999985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41602.404999999999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CGO_PLOT_DIMENSIONS!H11</f>
        <v>2827.04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8481.119999999999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40102.404999999999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534.69873333333328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574.69873333333328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57.469873333333332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632.16860666666662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22125.90123333333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8481.119999999999</v>
      </c>
    </row>
    <row r="44" spans="1:13" x14ac:dyDescent="0.3">
      <c r="A44" s="14">
        <v>9</v>
      </c>
      <c r="B44" s="14" t="s">
        <v>51</v>
      </c>
      <c r="C44" s="27">
        <f>C42-C43</f>
        <v>13644.781233333331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8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1725.79</v>
      </c>
      <c r="D49" s="33">
        <v>24</v>
      </c>
      <c r="E49" s="34">
        <f>24/3.3</f>
        <v>7.2727272727272734</v>
      </c>
      <c r="F49" s="35">
        <f>MIN(ROUNDUP(C44 /C49, 0), 10)</f>
        <v>8</v>
      </c>
      <c r="G49" s="35">
        <f>C49*F49</f>
        <v>13806.32</v>
      </c>
      <c r="H49" s="20">
        <f>F49* $C$18</f>
        <v>19.2</v>
      </c>
      <c r="I49" s="36">
        <f>D49-H49</f>
        <v>4.8000000000000007</v>
      </c>
      <c r="J49" s="37">
        <f>INT(I49/C17)</f>
        <v>1</v>
      </c>
      <c r="K49" s="38">
        <f>J49 * $C$17</f>
        <v>3.3</v>
      </c>
      <c r="L49" s="20">
        <f>C49*J49</f>
        <v>1725.79</v>
      </c>
      <c r="M49" s="20">
        <f>( F49* C18 ) + ( J49 * C17 )</f>
        <v>22.5</v>
      </c>
    </row>
    <row r="50" spans="1:13" x14ac:dyDescent="0.3">
      <c r="A50" s="6" t="s">
        <v>67</v>
      </c>
      <c r="B50" s="6" t="s">
        <v>4</v>
      </c>
      <c r="C50" s="18">
        <f>C9</f>
        <v>1315.32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5261.28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940.86</v>
      </c>
      <c r="D51" s="39">
        <f>$C$15 - 37.5</f>
        <v>116.22</v>
      </c>
      <c r="E51" s="9">
        <f>INT(D51/C17)</f>
        <v>35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116.22</v>
      </c>
      <c r="J51" s="37">
        <f>INT(I51/C17)</f>
        <v>35</v>
      </c>
      <c r="K51" s="41">
        <f>J51 * $C$17</f>
        <v>115.5</v>
      </c>
      <c r="L51" s="20">
        <f>C51*J51</f>
        <v>32930.1</v>
      </c>
      <c r="M51" s="20">
        <f>( F51* C18 ) + ( J51 * C17 )</f>
        <v>115.5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8</v>
      </c>
      <c r="G52" s="44">
        <f>SUM(G49:G51)</f>
        <v>13806.32</v>
      </c>
      <c r="H52" s="19">
        <f>SUM(H49:H51)</f>
        <v>19.2</v>
      </c>
      <c r="I52" s="45" t="s">
        <v>71</v>
      </c>
      <c r="J52" s="46">
        <f>SUM(J49:J51)</f>
        <v>40</v>
      </c>
      <c r="K52" s="46">
        <f>SUM(K49:K51)</f>
        <v>132</v>
      </c>
      <c r="L52" s="19">
        <f>L49+L50+L51</f>
        <v>39917.17</v>
      </c>
      <c r="M52" s="47">
        <f>SUM(M49:M51)</f>
        <v>151.19999999999999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153.72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8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19.2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134.37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151.35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132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40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48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40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48</v>
      </c>
      <c r="D67" s="14"/>
    </row>
    <row r="68" spans="1:16" x14ac:dyDescent="0.3">
      <c r="A68" s="14">
        <v>13</v>
      </c>
      <c r="B68" s="51" t="s">
        <v>84</v>
      </c>
      <c r="C68" s="52">
        <f>C24</f>
        <v>41602.404999999999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39917.17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1725.79</v>
      </c>
      <c r="D75" s="33">
        <v>24</v>
      </c>
      <c r="E75" s="34">
        <f>24/3.3</f>
        <v>7.2727272727272734</v>
      </c>
      <c r="F75" s="35">
        <f>F49</f>
        <v>8</v>
      </c>
      <c r="G75" s="35">
        <f>G49</f>
        <v>13806.32</v>
      </c>
      <c r="H75" s="20">
        <f>H49</f>
        <v>19.2</v>
      </c>
      <c r="I75" s="36">
        <f>D75-H75</f>
        <v>4.8000000000000007</v>
      </c>
      <c r="J75" s="37">
        <f>INT(I75/C17)</f>
        <v>1</v>
      </c>
      <c r="K75" s="38">
        <f>J75*C75</f>
        <v>1725.79</v>
      </c>
      <c r="L75" s="20">
        <f>MIN(C24, K75)</f>
        <v>1725.79</v>
      </c>
      <c r="M75" s="20">
        <f>ROUNDDOWN((L75/C75),0)</f>
        <v>1</v>
      </c>
      <c r="N75" s="1">
        <f>C17*M75</f>
        <v>3.3</v>
      </c>
      <c r="O75" s="54">
        <f>H75+N75</f>
        <v>22.5</v>
      </c>
    </row>
    <row r="76" spans="1:16" x14ac:dyDescent="0.3">
      <c r="A76" s="6" t="s">
        <v>67</v>
      </c>
      <c r="B76" s="6" t="s">
        <v>4</v>
      </c>
      <c r="C76" s="18">
        <f>C9</f>
        <v>1315.32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5261.28</v>
      </c>
      <c r="L76" s="20">
        <f>MAX(0, MIN(K76, C24 - L75))</f>
        <v>5261.28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940.86</v>
      </c>
      <c r="D77" s="39">
        <f>$C$15 - 37.5</f>
        <v>116.22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116.22</v>
      </c>
      <c r="J77" s="37">
        <f>INT(I77/C17)</f>
        <v>35</v>
      </c>
      <c r="K77" s="38">
        <f t="shared" si="1"/>
        <v>32930.1</v>
      </c>
      <c r="L77" s="20">
        <f>MAX(0, MIN(K77, C24 - L75 - L76))</f>
        <v>32930.1</v>
      </c>
      <c r="M77" s="20">
        <f t="shared" si="2"/>
        <v>35</v>
      </c>
      <c r="N77" s="1">
        <f>C17*M77</f>
        <v>115.5</v>
      </c>
      <c r="O77" s="54">
        <f t="shared" si="3"/>
        <v>115.5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8</v>
      </c>
      <c r="G78" s="44">
        <f>SUM(G75:G77)</f>
        <v>13806.32</v>
      </c>
      <c r="H78" s="19">
        <f>SUM(H75:H77)</f>
        <v>19.2</v>
      </c>
      <c r="I78" s="45" t="s">
        <v>71</v>
      </c>
      <c r="J78" s="46">
        <f>SUM(J75:J77)</f>
        <v>40</v>
      </c>
      <c r="K78" s="46">
        <f>SUM(K75:K77)</f>
        <v>39917.17</v>
      </c>
      <c r="L78" s="19">
        <f>L75+L76+L77</f>
        <v>39917.17</v>
      </c>
      <c r="M78" s="75">
        <f>SUM(M75:M77)</f>
        <v>40</v>
      </c>
      <c r="N78" s="76">
        <f>SUM(N75:N77)</f>
        <v>132</v>
      </c>
      <c r="O78" s="77">
        <f>SUM(O75:O77)</f>
        <v>151.19999999999999</v>
      </c>
    </row>
    <row r="80" spans="1:16" x14ac:dyDescent="0.3">
      <c r="L80" s="1" t="s">
        <v>130</v>
      </c>
      <c r="M80" s="37">
        <f>F78</f>
        <v>8</v>
      </c>
    </row>
    <row r="81" spans="12:13" x14ac:dyDescent="0.3">
      <c r="L81" s="1" t="s">
        <v>131</v>
      </c>
      <c r="M81" s="54">
        <f>M78</f>
        <v>40</v>
      </c>
    </row>
    <row r="82" spans="12:13" x14ac:dyDescent="0.3">
      <c r="L82" s="1" t="s">
        <v>132</v>
      </c>
      <c r="M82" s="37">
        <f>SUM(M80:M81)</f>
        <v>48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82"/>
  <sheetViews>
    <sheetView topLeftCell="A26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7" t="s">
        <v>90</v>
      </c>
    </row>
    <row r="7" spans="1:10" x14ac:dyDescent="0.3">
      <c r="A7" s="6">
        <v>2</v>
      </c>
      <c r="B7" s="6" t="s">
        <v>13</v>
      </c>
      <c r="C7" s="8">
        <v>3172.69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1728.8</v>
      </c>
      <c r="D8" s="9"/>
      <c r="E8" s="10"/>
    </row>
    <row r="9" spans="1:10" x14ac:dyDescent="0.3">
      <c r="A9" s="6">
        <v>4</v>
      </c>
      <c r="B9" s="6" t="s">
        <v>16</v>
      </c>
      <c r="C9" s="12">
        <v>1317.8</v>
      </c>
      <c r="D9" s="9"/>
      <c r="E9" s="10"/>
    </row>
    <row r="10" spans="1:10" x14ac:dyDescent="0.3">
      <c r="A10" s="6">
        <v>5</v>
      </c>
      <c r="B10" s="6" t="s">
        <v>17</v>
      </c>
      <c r="C10" s="13">
        <v>942.79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9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CGO_PLOT_DIMENSIONS!I15</f>
        <v>87.84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12690.76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3807.2280000000001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16497.988000000001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CGO_PLOT_DIMENSIONS!H15</f>
        <v>2830.95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8492.8499999999985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14997.988000000001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199.97317333333334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239.97317333333334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23.997317333333335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263.97049066666665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9238.9671733333325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8492.8499999999985</v>
      </c>
    </row>
    <row r="44" spans="1:13" x14ac:dyDescent="0.3">
      <c r="A44" s="14">
        <v>9</v>
      </c>
      <c r="B44" s="14" t="s">
        <v>51</v>
      </c>
      <c r="C44" s="27">
        <f>C42-C43</f>
        <v>746.11717333333399</v>
      </c>
      <c r="D44" s="1" t="s">
        <v>14</v>
      </c>
    </row>
    <row r="45" spans="1:13" x14ac:dyDescent="0.3">
      <c r="A45" s="14">
        <v>10</v>
      </c>
      <c r="B45" s="14" t="s">
        <v>52</v>
      </c>
      <c r="C45" s="57">
        <f>ROUNDUP( C44 / C8, 0)</f>
        <v>1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1728.8</v>
      </c>
      <c r="D49" s="33">
        <v>24</v>
      </c>
      <c r="E49" s="34">
        <f>24/3.3</f>
        <v>7.2727272727272734</v>
      </c>
      <c r="F49" s="58">
        <f>MIN(ROUNDUP(C44 /C49, 0), 10)</f>
        <v>1</v>
      </c>
      <c r="G49" s="35">
        <f>C49*F49</f>
        <v>1728.8</v>
      </c>
      <c r="H49" s="20">
        <f>F49* $C$18</f>
        <v>2.4</v>
      </c>
      <c r="I49" s="36">
        <f>D49-H49</f>
        <v>21.6</v>
      </c>
      <c r="J49" s="37">
        <f>INT(I49/C17)</f>
        <v>6</v>
      </c>
      <c r="K49" s="38">
        <f>J49 * $C$17</f>
        <v>19.799999999999997</v>
      </c>
      <c r="L49" s="20">
        <f>C49*J49</f>
        <v>10372.799999999999</v>
      </c>
      <c r="M49" s="20">
        <f>( F49* C18 ) + ( J49 * C17 )</f>
        <v>22.199999999999996</v>
      </c>
    </row>
    <row r="50" spans="1:13" x14ac:dyDescent="0.3">
      <c r="A50" s="6" t="s">
        <v>67</v>
      </c>
      <c r="B50" s="6" t="s">
        <v>4</v>
      </c>
      <c r="C50" s="18">
        <f>C9</f>
        <v>1317.8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5271.2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942.79</v>
      </c>
      <c r="D51" s="39">
        <f>$C$15 - 37.5</f>
        <v>50.34</v>
      </c>
      <c r="E51" s="9">
        <f>INT(D51/C17)</f>
        <v>15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50.34</v>
      </c>
      <c r="J51" s="37">
        <f>INT(I51/C17)</f>
        <v>15</v>
      </c>
      <c r="K51" s="41">
        <f>J51 * $C$17</f>
        <v>49.5</v>
      </c>
      <c r="L51" s="20">
        <f>C51*J51</f>
        <v>14141.849999999999</v>
      </c>
      <c r="M51" s="20">
        <f>( F51* C18 ) + ( J51 * C17 )</f>
        <v>49.5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1</v>
      </c>
      <c r="G52" s="44">
        <f>SUM(G49:G51)</f>
        <v>1728.8</v>
      </c>
      <c r="H52" s="19">
        <f>SUM(H49:H51)</f>
        <v>2.4</v>
      </c>
      <c r="I52" s="45" t="s">
        <v>71</v>
      </c>
      <c r="J52" s="46">
        <f>SUM(J49:J51)</f>
        <v>25</v>
      </c>
      <c r="K52" s="46">
        <f>SUM(K49:K51)</f>
        <v>82.5</v>
      </c>
      <c r="L52" s="19">
        <f>L49+L50+L51</f>
        <v>29785.85</v>
      </c>
      <c r="M52" s="47">
        <f>SUM(M49:M51)</f>
        <v>84.899999999999991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87.84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1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2.4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85.29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85.050000000000011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82.5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25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26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25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26</v>
      </c>
      <c r="D67" s="14"/>
    </row>
    <row r="68" spans="1:16" x14ac:dyDescent="0.3">
      <c r="A68" s="14">
        <v>13</v>
      </c>
      <c r="B68" s="51" t="s">
        <v>84</v>
      </c>
      <c r="C68" s="52">
        <f>C24</f>
        <v>16497.988000000001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29785.85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1728.8</v>
      </c>
      <c r="D75" s="33">
        <v>24</v>
      </c>
      <c r="E75" s="34">
        <f>24/3.3</f>
        <v>7.2727272727272734</v>
      </c>
      <c r="F75" s="58">
        <f>F49</f>
        <v>1</v>
      </c>
      <c r="G75" s="35">
        <f>G49</f>
        <v>1728.8</v>
      </c>
      <c r="H75" s="20">
        <f>H49</f>
        <v>2.4</v>
      </c>
      <c r="I75" s="36">
        <f>D75-H75</f>
        <v>21.6</v>
      </c>
      <c r="J75" s="37">
        <f>INT(I75/C17)</f>
        <v>6</v>
      </c>
      <c r="K75" s="38">
        <f>J75*C75</f>
        <v>10372.799999999999</v>
      </c>
      <c r="L75" s="20">
        <f>MIN(C24, K75)</f>
        <v>10372.799999999999</v>
      </c>
      <c r="M75" s="20">
        <f>ROUNDDOWN((L75/C75),0)</f>
        <v>6</v>
      </c>
      <c r="N75" s="1">
        <f>C17*M75</f>
        <v>19.799999999999997</v>
      </c>
      <c r="O75" s="54">
        <f>H75+N75</f>
        <v>22.199999999999996</v>
      </c>
    </row>
    <row r="76" spans="1:16" x14ac:dyDescent="0.3">
      <c r="A76" s="6" t="s">
        <v>67</v>
      </c>
      <c r="B76" s="6" t="s">
        <v>4</v>
      </c>
      <c r="C76" s="18">
        <f>C9</f>
        <v>1317.8</v>
      </c>
      <c r="D76" s="33">
        <v>13.5</v>
      </c>
      <c r="E76" s="34">
        <f>D76/3.3</f>
        <v>4.0909090909090908</v>
      </c>
      <c r="F76" s="58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5271.2</v>
      </c>
      <c r="L76" s="20">
        <f>MAX(0, MIN(K76, C24 - L75))</f>
        <v>5271.2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942.79</v>
      </c>
      <c r="D77" s="39">
        <f>$C$15 - 37.5</f>
        <v>50.34</v>
      </c>
      <c r="E77" s="9">
        <f>INT(D77/C43)</f>
        <v>0</v>
      </c>
      <c r="F77" s="58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50.34</v>
      </c>
      <c r="J77" s="37">
        <f>INT(I77/C17)</f>
        <v>15</v>
      </c>
      <c r="K77" s="38">
        <f t="shared" si="1"/>
        <v>14141.849999999999</v>
      </c>
      <c r="L77" s="20">
        <f>MAX(0, MIN(K77, C24 - L75 - L76))</f>
        <v>853.9880000000021</v>
      </c>
      <c r="M77" s="20">
        <f t="shared" si="2"/>
        <v>0</v>
      </c>
      <c r="N77" s="1">
        <f>C17*M77</f>
        <v>0</v>
      </c>
      <c r="O77" s="54">
        <f t="shared" si="3"/>
        <v>0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1</v>
      </c>
      <c r="G78" s="44">
        <f>SUM(G75:G77)</f>
        <v>1728.8</v>
      </c>
      <c r="H78" s="19">
        <f>SUM(H75:H77)</f>
        <v>2.4</v>
      </c>
      <c r="I78" s="45" t="s">
        <v>71</v>
      </c>
      <c r="J78" s="46">
        <f>SUM(J75:J77)</f>
        <v>25</v>
      </c>
      <c r="K78" s="46">
        <f>SUM(K75:K77)</f>
        <v>29785.85</v>
      </c>
      <c r="L78" s="19">
        <f>L75+L76+L77</f>
        <v>16497.988000000001</v>
      </c>
      <c r="M78" s="75">
        <f>SUM(M75:M77)</f>
        <v>10</v>
      </c>
      <c r="N78" s="76">
        <f>SUM(N75:N77)</f>
        <v>33</v>
      </c>
      <c r="O78" s="77">
        <f>SUM(O75:O77)</f>
        <v>35.399999999999991</v>
      </c>
    </row>
    <row r="80" spans="1:16" x14ac:dyDescent="0.3">
      <c r="L80" s="1" t="s">
        <v>130</v>
      </c>
      <c r="M80" s="37">
        <f>F78</f>
        <v>1</v>
      </c>
    </row>
    <row r="81" spans="12:13" x14ac:dyDescent="0.3">
      <c r="L81" s="1" t="s">
        <v>131</v>
      </c>
      <c r="M81" s="54">
        <f>M78</f>
        <v>10</v>
      </c>
    </row>
    <row r="82" spans="12:13" x14ac:dyDescent="0.3">
      <c r="L82" s="1" t="s">
        <v>132</v>
      </c>
      <c r="M82" s="37">
        <f>SUM(M80:M81)</f>
        <v>11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2"/>
  <sheetViews>
    <sheetView topLeftCell="A26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5" t="s">
        <v>91</v>
      </c>
    </row>
    <row r="7" spans="1:10" x14ac:dyDescent="0.3">
      <c r="A7" s="6">
        <v>2</v>
      </c>
      <c r="B7" s="6" t="s">
        <v>13</v>
      </c>
      <c r="C7" s="56">
        <v>3171.66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1728.05</v>
      </c>
      <c r="D8" s="9"/>
      <c r="E8" s="10"/>
    </row>
    <row r="9" spans="1:10" x14ac:dyDescent="0.3">
      <c r="A9" s="6">
        <v>4</v>
      </c>
      <c r="B9" s="6" t="s">
        <v>16</v>
      </c>
      <c r="C9" s="12">
        <v>1317.13</v>
      </c>
      <c r="D9" s="9"/>
      <c r="E9" s="10"/>
    </row>
    <row r="10" spans="1:10" x14ac:dyDescent="0.3">
      <c r="A10" s="6">
        <v>5</v>
      </c>
      <c r="B10" s="6" t="s">
        <v>17</v>
      </c>
      <c r="C10" s="13">
        <v>942.2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CGO_PLOT_DIMENSIONS!I14</f>
        <v>87.84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12686.64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3805.9919999999997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16492.631999999998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CGO_PLOT_DIMENSIONS!H14</f>
        <v>2829.98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8489.94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14992.631999999998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199.90175999999997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239.90175999999997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23.990175999999998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263.89193599999999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9236.2177599999995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8489.94</v>
      </c>
    </row>
    <row r="44" spans="1:13" x14ac:dyDescent="0.3">
      <c r="A44" s="14">
        <v>9</v>
      </c>
      <c r="B44" s="14" t="s">
        <v>51</v>
      </c>
      <c r="C44" s="27">
        <f>C42-C43</f>
        <v>746.27775999999903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1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1728.05</v>
      </c>
      <c r="D49" s="33">
        <v>24</v>
      </c>
      <c r="E49" s="34">
        <f>24/3.3</f>
        <v>7.2727272727272734</v>
      </c>
      <c r="F49" s="35">
        <f>MIN(ROUNDUP(C44 /C49, 0), 10)</f>
        <v>1</v>
      </c>
      <c r="G49" s="35">
        <f>C49*F49</f>
        <v>1728.05</v>
      </c>
      <c r="H49" s="20">
        <f>F49* $C$18</f>
        <v>2.4</v>
      </c>
      <c r="I49" s="36">
        <f>D49-H49</f>
        <v>21.6</v>
      </c>
      <c r="J49" s="37">
        <f>INT(I49/C17)</f>
        <v>6</v>
      </c>
      <c r="K49" s="38">
        <f>J49 * $C$17</f>
        <v>19.799999999999997</v>
      </c>
      <c r="L49" s="20">
        <f>C49*J49</f>
        <v>10368.299999999999</v>
      </c>
      <c r="M49" s="20">
        <f>( F49* C18 ) + ( J49 * C17 )</f>
        <v>22.199999999999996</v>
      </c>
    </row>
    <row r="50" spans="1:13" x14ac:dyDescent="0.3">
      <c r="A50" s="6" t="s">
        <v>67</v>
      </c>
      <c r="B50" s="6" t="s">
        <v>4</v>
      </c>
      <c r="C50" s="18">
        <f>C9</f>
        <v>1317.13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5268.52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942.2</v>
      </c>
      <c r="D51" s="39">
        <f>$C$15 - 37.5</f>
        <v>50.34</v>
      </c>
      <c r="E51" s="9">
        <f>INT(D51/C17)</f>
        <v>15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50.34</v>
      </c>
      <c r="J51" s="37">
        <f>INT(I51/C17)</f>
        <v>15</v>
      </c>
      <c r="K51" s="41">
        <f>J51 * $C$17</f>
        <v>49.5</v>
      </c>
      <c r="L51" s="20">
        <f>C51*J51</f>
        <v>14133</v>
      </c>
      <c r="M51" s="20">
        <f>( F51* C18 ) + ( J51 * C17 )</f>
        <v>49.5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1</v>
      </c>
      <c r="G52" s="44">
        <f>SUM(G49:G51)</f>
        <v>1728.05</v>
      </c>
      <c r="H52" s="19">
        <f>SUM(H49:H51)</f>
        <v>2.4</v>
      </c>
      <c r="I52" s="45" t="s">
        <v>71</v>
      </c>
      <c r="J52" s="46">
        <f>SUM(J49:J51)</f>
        <v>25</v>
      </c>
      <c r="K52" s="46">
        <f>SUM(K49:K51)</f>
        <v>82.5</v>
      </c>
      <c r="L52" s="19">
        <f>L49+L50+L51</f>
        <v>29769.82</v>
      </c>
      <c r="M52" s="47">
        <f>SUM(M49:M51)</f>
        <v>84.899999999999991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87.84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1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2.4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85.29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85.050000000000011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82.5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25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26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25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26</v>
      </c>
      <c r="D67" s="14"/>
    </row>
    <row r="68" spans="1:16" x14ac:dyDescent="0.3">
      <c r="A68" s="14">
        <v>13</v>
      </c>
      <c r="B68" s="51" t="s">
        <v>84</v>
      </c>
      <c r="C68" s="52">
        <f>C24</f>
        <v>16492.631999999998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29769.82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1728.05</v>
      </c>
      <c r="D75" s="33">
        <v>24</v>
      </c>
      <c r="E75" s="34">
        <f>24/3.3</f>
        <v>7.2727272727272734</v>
      </c>
      <c r="F75" s="35">
        <f>F49</f>
        <v>1</v>
      </c>
      <c r="G75" s="35">
        <f>G49</f>
        <v>1728.05</v>
      </c>
      <c r="H75" s="20">
        <f>H49</f>
        <v>2.4</v>
      </c>
      <c r="I75" s="36">
        <f>D75-H75</f>
        <v>21.6</v>
      </c>
      <c r="J75" s="37">
        <f>INT(I75/C17)</f>
        <v>6</v>
      </c>
      <c r="K75" s="38">
        <f>J75*C75</f>
        <v>10368.299999999999</v>
      </c>
      <c r="L75" s="20">
        <f>MIN(C24, K75)</f>
        <v>10368.299999999999</v>
      </c>
      <c r="M75" s="20">
        <f>ROUNDDOWN((L75/C75),0)</f>
        <v>6</v>
      </c>
      <c r="N75" s="1">
        <f>C17*M75</f>
        <v>19.799999999999997</v>
      </c>
      <c r="O75" s="54">
        <f>H75+N75</f>
        <v>22.199999999999996</v>
      </c>
    </row>
    <row r="76" spans="1:16" x14ac:dyDescent="0.3">
      <c r="A76" s="6" t="s">
        <v>67</v>
      </c>
      <c r="B76" s="6" t="s">
        <v>4</v>
      </c>
      <c r="C76" s="18">
        <f>C9</f>
        <v>1317.13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5268.52</v>
      </c>
      <c r="L76" s="20">
        <f>MAX(0, MIN(K76, C24 - L75))</f>
        <v>5268.52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942.2</v>
      </c>
      <c r="D77" s="39">
        <f>$C$15 - 37.5</f>
        <v>50.34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50.34</v>
      </c>
      <c r="J77" s="37">
        <f>INT(I77/C17)</f>
        <v>15</v>
      </c>
      <c r="K77" s="38">
        <f t="shared" si="1"/>
        <v>14133</v>
      </c>
      <c r="L77" s="20">
        <f>MAX(0, MIN(K77, C24 - L75 - L76))</f>
        <v>855.81199999999808</v>
      </c>
      <c r="M77" s="20">
        <f t="shared" si="2"/>
        <v>0</v>
      </c>
      <c r="N77" s="1">
        <f>C17*M77</f>
        <v>0</v>
      </c>
      <c r="O77" s="54">
        <f t="shared" si="3"/>
        <v>0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1</v>
      </c>
      <c r="G78" s="44">
        <f>SUM(G75:G77)</f>
        <v>1728.05</v>
      </c>
      <c r="H78" s="19">
        <f>SUM(H75:H77)</f>
        <v>2.4</v>
      </c>
      <c r="I78" s="45" t="s">
        <v>71</v>
      </c>
      <c r="J78" s="46">
        <f>SUM(J75:J77)</f>
        <v>25</v>
      </c>
      <c r="K78" s="46">
        <f>SUM(K75:K77)</f>
        <v>29769.82</v>
      </c>
      <c r="L78" s="19">
        <f>L75+L76+L77</f>
        <v>16492.631999999998</v>
      </c>
      <c r="M78" s="75">
        <f>SUM(M75:M77)</f>
        <v>10</v>
      </c>
      <c r="N78" s="76">
        <f>SUM(N75:N77)</f>
        <v>33</v>
      </c>
      <c r="O78" s="77">
        <f>SUM(O75:O77)</f>
        <v>35.399999999999991</v>
      </c>
    </row>
    <row r="80" spans="1:16" x14ac:dyDescent="0.3">
      <c r="L80" s="1" t="s">
        <v>130</v>
      </c>
      <c r="M80" s="37">
        <f>F78</f>
        <v>1</v>
      </c>
    </row>
    <row r="81" spans="12:13" x14ac:dyDescent="0.3">
      <c r="L81" s="1" t="s">
        <v>131</v>
      </c>
      <c r="M81" s="54">
        <f>M78</f>
        <v>10</v>
      </c>
    </row>
    <row r="82" spans="12:13" x14ac:dyDescent="0.3">
      <c r="L82" s="1" t="s">
        <v>132</v>
      </c>
      <c r="M82" s="37">
        <f>SUM(M80:M81)</f>
        <v>11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2"/>
  <sheetViews>
    <sheetView topLeftCell="A39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9" t="str">
        <f>CGO_PLOT_DIMENSIONS!B19</f>
        <v>158  5/6</v>
      </c>
    </row>
    <row r="7" spans="1:10" x14ac:dyDescent="0.3">
      <c r="A7" s="6">
        <v>2</v>
      </c>
      <c r="B7" s="6" t="s">
        <v>13</v>
      </c>
      <c r="C7" s="60">
        <f>CGO_PLOT_DIMENSIONS!C19</f>
        <v>5093.99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60">
        <f>CGO_PLOT_DIMENSIONS!D19</f>
        <v>3140.69</v>
      </c>
      <c r="D8" s="9"/>
      <c r="E8" s="10"/>
    </row>
    <row r="9" spans="1:10" x14ac:dyDescent="0.3">
      <c r="A9" s="6">
        <v>4</v>
      </c>
      <c r="B9" s="6" t="s">
        <v>16</v>
      </c>
      <c r="C9" s="60">
        <f>CGO_PLOT_DIMENSIONS!E19</f>
        <v>2628.68</v>
      </c>
      <c r="D9" s="9"/>
      <c r="E9" s="10"/>
    </row>
    <row r="10" spans="1:10" x14ac:dyDescent="0.3">
      <c r="A10" s="6">
        <v>5</v>
      </c>
      <c r="B10" s="6" t="s">
        <v>17</v>
      </c>
      <c r="C10" s="60">
        <f>CGO_PLOT_DIMENSIONS!F19</f>
        <v>2150.87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58">
        <v>4.8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v>74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24451.151999999998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7335.3455999999996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31786.497599999999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CGO_PLOT_DIMENSIONS!H19</f>
        <v>4661.95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13985.849999999999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30286.497599999999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403.81996799999996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443.81996799999996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44.381996799999996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488.20196479999993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17087.068767999997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13985.849999999999</v>
      </c>
    </row>
    <row r="44" spans="1:13" x14ac:dyDescent="0.3">
      <c r="A44" s="14">
        <v>9</v>
      </c>
      <c r="B44" s="14" t="s">
        <v>51</v>
      </c>
      <c r="C44" s="27">
        <f>C42-C43</f>
        <v>3101.2187679999988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1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3140.69</v>
      </c>
      <c r="D49" s="33">
        <v>24</v>
      </c>
      <c r="E49" s="34">
        <f>24/3.3</f>
        <v>7.2727272727272734</v>
      </c>
      <c r="F49" s="35">
        <f>MIN(ROUNDUP(C44 /C49, 0), 10)</f>
        <v>1</v>
      </c>
      <c r="G49" s="35">
        <f>C49*F49</f>
        <v>3140.69</v>
      </c>
      <c r="H49" s="20">
        <f>F49* $C$18</f>
        <v>2.4</v>
      </c>
      <c r="I49" s="36">
        <f>D49-H49</f>
        <v>21.6</v>
      </c>
      <c r="J49" s="37">
        <f>INT(I49/C17)</f>
        <v>6</v>
      </c>
      <c r="K49" s="38">
        <f>J49 * $C$17</f>
        <v>19.799999999999997</v>
      </c>
      <c r="L49" s="20">
        <f>C49*J49</f>
        <v>18844.14</v>
      </c>
      <c r="M49" s="20">
        <f>( F49* C18 ) + ( J49 * C17 )</f>
        <v>22.199999999999996</v>
      </c>
    </row>
    <row r="50" spans="1:13" x14ac:dyDescent="0.3">
      <c r="A50" s="6" t="s">
        <v>67</v>
      </c>
      <c r="B50" s="6" t="s">
        <v>4</v>
      </c>
      <c r="C50" s="18">
        <f>C9</f>
        <v>2628.68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10514.72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2150.87</v>
      </c>
      <c r="D51" s="39">
        <f>$C$15 - 37.5</f>
        <v>36.5</v>
      </c>
      <c r="E51" s="9">
        <f>INT(D51/C17)</f>
        <v>11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36.5</v>
      </c>
      <c r="J51" s="37">
        <f>INT(I51/C17)</f>
        <v>11</v>
      </c>
      <c r="K51" s="41">
        <f>J51 * $C$17</f>
        <v>36.299999999999997</v>
      </c>
      <c r="L51" s="20">
        <f>C51*J51</f>
        <v>23659.57</v>
      </c>
      <c r="M51" s="20">
        <f>( F51* C18 ) + ( J51 * C17 )</f>
        <v>36.299999999999997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1</v>
      </c>
      <c r="G52" s="44">
        <f>SUM(G49:G51)</f>
        <v>3140.69</v>
      </c>
      <c r="H52" s="19">
        <f>SUM(H49:H51)</f>
        <v>2.4</v>
      </c>
      <c r="I52" s="45" t="s">
        <v>71</v>
      </c>
      <c r="J52" s="46">
        <f>SUM(J49:J51)</f>
        <v>21</v>
      </c>
      <c r="K52" s="46">
        <f>SUM(K49:K51)</f>
        <v>69.3</v>
      </c>
      <c r="L52" s="19">
        <f>L49+L50+L51</f>
        <v>53018.43</v>
      </c>
      <c r="M52" s="47">
        <f>SUM(M49:M51)</f>
        <v>71.699999999999989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74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1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2.4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71.45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71.850000000000009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69.3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21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21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22</v>
      </c>
      <c r="D67" s="14"/>
    </row>
    <row r="68" spans="1:16" x14ac:dyDescent="0.3">
      <c r="A68" s="14">
        <v>13</v>
      </c>
      <c r="B68" s="51" t="s">
        <v>84</v>
      </c>
      <c r="C68" s="52">
        <f>C24</f>
        <v>31786.497599999999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53018.43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3140.69</v>
      </c>
      <c r="D75" s="33">
        <v>24</v>
      </c>
      <c r="E75" s="34">
        <f>24/3.3</f>
        <v>7.2727272727272734</v>
      </c>
      <c r="F75" s="35">
        <f>F49</f>
        <v>1</v>
      </c>
      <c r="G75" s="35">
        <f>G49</f>
        <v>3140.69</v>
      </c>
      <c r="H75" s="20">
        <f>H49</f>
        <v>2.4</v>
      </c>
      <c r="I75" s="36">
        <f>D75-H75</f>
        <v>21.6</v>
      </c>
      <c r="J75" s="37">
        <f>INT(I75/C17)</f>
        <v>6</v>
      </c>
      <c r="K75" s="38">
        <f>J75*C75</f>
        <v>18844.14</v>
      </c>
      <c r="L75" s="20">
        <f>MIN(C24, K75)</f>
        <v>18844.14</v>
      </c>
      <c r="M75" s="20">
        <f>ROUNDDOWN((L75/C75),0)</f>
        <v>6</v>
      </c>
      <c r="N75" s="1">
        <f>C17*M75</f>
        <v>19.799999999999997</v>
      </c>
      <c r="O75" s="54">
        <f>H75+N75</f>
        <v>22.199999999999996</v>
      </c>
    </row>
    <row r="76" spans="1:16" x14ac:dyDescent="0.3">
      <c r="A76" s="6" t="s">
        <v>67</v>
      </c>
      <c r="B76" s="6" t="s">
        <v>4</v>
      </c>
      <c r="C76" s="18">
        <f>C9</f>
        <v>2628.68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10514.72</v>
      </c>
      <c r="L76" s="20">
        <f>MAX(0, MIN(K76, C24 - L75))</f>
        <v>10514.72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2150.87</v>
      </c>
      <c r="D77" s="39">
        <f>$C$15 - 37.5</f>
        <v>36.5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36.5</v>
      </c>
      <c r="J77" s="37">
        <f>INT(I77/C17)</f>
        <v>11</v>
      </c>
      <c r="K77" s="38">
        <f t="shared" si="1"/>
        <v>23659.57</v>
      </c>
      <c r="L77" s="20">
        <f>MAX(0, MIN(K77, C24 - L75 - L76))</f>
        <v>2427.6376</v>
      </c>
      <c r="M77" s="20">
        <f t="shared" si="2"/>
        <v>1</v>
      </c>
      <c r="N77" s="1">
        <f>C17*M77</f>
        <v>3.3</v>
      </c>
      <c r="O77" s="54">
        <f t="shared" si="3"/>
        <v>3.3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1</v>
      </c>
      <c r="G78" s="44">
        <f>SUM(G75:G77)</f>
        <v>3140.69</v>
      </c>
      <c r="H78" s="19">
        <f>SUM(H75:H77)</f>
        <v>2.4</v>
      </c>
      <c r="I78" s="45" t="s">
        <v>71</v>
      </c>
      <c r="J78" s="46">
        <f>SUM(J75:J77)</f>
        <v>21</v>
      </c>
      <c r="K78" s="46">
        <f>SUM(K75:K77)</f>
        <v>53018.43</v>
      </c>
      <c r="L78" s="19">
        <f>L75+L76+L77</f>
        <v>31786.497600000002</v>
      </c>
      <c r="M78" s="75">
        <f>SUM(M75:M77)</f>
        <v>11</v>
      </c>
      <c r="N78" s="76">
        <f>SUM(N75:N77)</f>
        <v>36.299999999999997</v>
      </c>
      <c r="O78" s="77">
        <f>SUM(O75:O77)</f>
        <v>38.699999999999989</v>
      </c>
    </row>
    <row r="80" spans="1:16" x14ac:dyDescent="0.3">
      <c r="L80" s="1" t="s">
        <v>130</v>
      </c>
      <c r="M80" s="37">
        <f>F78</f>
        <v>1</v>
      </c>
    </row>
    <row r="81" spans="12:13" x14ac:dyDescent="0.3">
      <c r="L81" s="1" t="s">
        <v>131</v>
      </c>
      <c r="M81" s="54">
        <f>M78</f>
        <v>11</v>
      </c>
    </row>
    <row r="82" spans="12:13" x14ac:dyDescent="0.3">
      <c r="L82" s="1" t="s">
        <v>132</v>
      </c>
      <c r="M82" s="37">
        <f>SUM(M80:M81)</f>
        <v>12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82"/>
  <sheetViews>
    <sheetView zoomScale="60" zoomScaleNormal="60" workbookViewId="0">
      <selection activeCell="C7" sqref="C7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61" t="s">
        <v>92</v>
      </c>
    </row>
    <row r="7" spans="1:10" x14ac:dyDescent="0.3">
      <c r="A7" s="6">
        <v>2</v>
      </c>
      <c r="B7" s="6" t="s">
        <v>13</v>
      </c>
      <c r="C7" s="56">
        <f>CGO_PLOT_DIMENSIONS!C18</f>
        <v>3507.4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1972.23</v>
      </c>
      <c r="D8" s="9"/>
      <c r="E8" s="10"/>
    </row>
    <row r="9" spans="1:10" x14ac:dyDescent="0.3">
      <c r="A9" s="6">
        <v>4</v>
      </c>
      <c r="B9" s="6" t="s">
        <v>16</v>
      </c>
      <c r="C9" s="12">
        <v>1518.94</v>
      </c>
      <c r="D9" s="9"/>
      <c r="E9" s="10"/>
    </row>
    <row r="10" spans="1:10" x14ac:dyDescent="0.3">
      <c r="A10" s="6">
        <v>5</v>
      </c>
      <c r="B10" s="6" t="s">
        <v>17</v>
      </c>
      <c r="C10" s="13">
        <v>1101.6500000000001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CGO_PLOT_DIMENSIONS!I18</f>
        <v>73.2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16835.52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5050.6559999999999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21886.175999999999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CGO_PLOT_DIMENSIONS!H18</f>
        <v>3143.59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9430.77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20386.175999999999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271.81567999999999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311.81567999999999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31.181567999999999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342.99724800000001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12004.903680000001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9430.77</v>
      </c>
    </row>
    <row r="44" spans="1:13" x14ac:dyDescent="0.3">
      <c r="A44" s="14">
        <v>9</v>
      </c>
      <c r="B44" s="14" t="s">
        <v>51</v>
      </c>
      <c r="C44" s="27">
        <f>C42-C43</f>
        <v>2574.1336800000008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2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1972.23</v>
      </c>
      <c r="D49" s="33">
        <v>24</v>
      </c>
      <c r="E49" s="34">
        <f>24/3.3</f>
        <v>7.2727272727272734</v>
      </c>
      <c r="F49" s="35">
        <f>MIN(ROUNDUP(C44 /C49, 0), 10)</f>
        <v>2</v>
      </c>
      <c r="G49" s="35">
        <f>C49*F49</f>
        <v>3944.46</v>
      </c>
      <c r="H49" s="20">
        <f>F49* $C$18</f>
        <v>4.8</v>
      </c>
      <c r="I49" s="36">
        <f>D49-H49</f>
        <v>19.2</v>
      </c>
      <c r="J49" s="37">
        <f>INT(I49/C17)</f>
        <v>5</v>
      </c>
      <c r="K49" s="38">
        <f>J49 * $C$17</f>
        <v>16.5</v>
      </c>
      <c r="L49" s="20">
        <f>C49*J49</f>
        <v>9861.15</v>
      </c>
      <c r="M49" s="20">
        <f>( F49* C18 ) + ( J49 * C17 )</f>
        <v>21.3</v>
      </c>
    </row>
    <row r="50" spans="1:13" x14ac:dyDescent="0.3">
      <c r="A50" s="6" t="s">
        <v>67</v>
      </c>
      <c r="B50" s="6" t="s">
        <v>4</v>
      </c>
      <c r="C50" s="18">
        <f>C9</f>
        <v>1518.94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6075.76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1101.6500000000001</v>
      </c>
      <c r="D51" s="39">
        <f>$C$15 - 37.5</f>
        <v>35.700000000000003</v>
      </c>
      <c r="E51" s="9">
        <f>INT(D51/C17)</f>
        <v>10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35.700000000000003</v>
      </c>
      <c r="J51" s="37">
        <f>INT(I51/C17)</f>
        <v>10</v>
      </c>
      <c r="K51" s="41">
        <f>J51 * $C$17</f>
        <v>33</v>
      </c>
      <c r="L51" s="20">
        <f>C51*J51</f>
        <v>11016.5</v>
      </c>
      <c r="M51" s="20">
        <f>( F51* C18 ) + ( J51 * C17 )</f>
        <v>33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2</v>
      </c>
      <c r="G52" s="44">
        <f>SUM(G49:G51)</f>
        <v>3944.46</v>
      </c>
      <c r="H52" s="19">
        <f>SUM(H49:H51)</f>
        <v>4.8</v>
      </c>
      <c r="I52" s="45" t="s">
        <v>71</v>
      </c>
      <c r="J52" s="46">
        <f>SUM(J49:J51)</f>
        <v>19</v>
      </c>
      <c r="K52" s="46">
        <f>SUM(K49:K51)</f>
        <v>62.7</v>
      </c>
      <c r="L52" s="19">
        <f>L49+L50+L51</f>
        <v>26953.41</v>
      </c>
      <c r="M52" s="47">
        <f>SUM(M49:M51)</f>
        <v>67.5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73.2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2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4.8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68.25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67.650000000000006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62.7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20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19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21</v>
      </c>
      <c r="D67" s="14"/>
    </row>
    <row r="68" spans="1:16" x14ac:dyDescent="0.3">
      <c r="A68" s="14">
        <v>13</v>
      </c>
      <c r="B68" s="51" t="s">
        <v>84</v>
      </c>
      <c r="C68" s="52">
        <f>C24</f>
        <v>21886.175999999999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26953.41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1972.23</v>
      </c>
      <c r="D75" s="33">
        <v>24</v>
      </c>
      <c r="E75" s="34">
        <f>24/3.3</f>
        <v>7.2727272727272734</v>
      </c>
      <c r="F75" s="35">
        <f>F49</f>
        <v>2</v>
      </c>
      <c r="G75" s="35">
        <f>G49</f>
        <v>3944.46</v>
      </c>
      <c r="H75" s="20">
        <f>H49</f>
        <v>4.8</v>
      </c>
      <c r="I75" s="36">
        <f>D75-H75</f>
        <v>19.2</v>
      </c>
      <c r="J75" s="37">
        <f>INT(I75/C17)</f>
        <v>5</v>
      </c>
      <c r="K75" s="38">
        <f>J75*C75</f>
        <v>9861.15</v>
      </c>
      <c r="L75" s="20">
        <f>MIN(C24, K75)</f>
        <v>9861.15</v>
      </c>
      <c r="M75" s="20">
        <f>ROUNDDOWN((L75/C75),0)</f>
        <v>5</v>
      </c>
      <c r="N75" s="1">
        <f>C17*M75</f>
        <v>16.5</v>
      </c>
      <c r="O75" s="54">
        <f>H75+N75</f>
        <v>21.3</v>
      </c>
    </row>
    <row r="76" spans="1:16" x14ac:dyDescent="0.3">
      <c r="A76" s="6" t="s">
        <v>67</v>
      </c>
      <c r="B76" s="6" t="s">
        <v>4</v>
      </c>
      <c r="C76" s="18">
        <f>C9</f>
        <v>1518.94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6075.76</v>
      </c>
      <c r="L76" s="20">
        <f>MAX(0, MIN(K76, C24 - L75))</f>
        <v>6075.76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1101.6500000000001</v>
      </c>
      <c r="D77" s="39">
        <f>$C$15 - 37.5</f>
        <v>35.700000000000003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35.700000000000003</v>
      </c>
      <c r="J77" s="37">
        <f>INT(I77/C17)</f>
        <v>10</v>
      </c>
      <c r="K77" s="38">
        <f t="shared" si="1"/>
        <v>11016.5</v>
      </c>
      <c r="L77" s="20">
        <f>MAX(0, MIN(K77, C24 - L75 - L76))</f>
        <v>5949.2659999999996</v>
      </c>
      <c r="M77" s="20">
        <f t="shared" si="2"/>
        <v>5</v>
      </c>
      <c r="N77" s="1">
        <f>C17*M77</f>
        <v>16.5</v>
      </c>
      <c r="O77" s="54">
        <f t="shared" si="3"/>
        <v>16.5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2</v>
      </c>
      <c r="G78" s="44">
        <f>SUM(G75:G77)</f>
        <v>3944.46</v>
      </c>
      <c r="H78" s="19">
        <f>SUM(H75:H77)</f>
        <v>4.8</v>
      </c>
      <c r="I78" s="45" t="s">
        <v>71</v>
      </c>
      <c r="J78" s="46">
        <f>SUM(J75:J77)</f>
        <v>19</v>
      </c>
      <c r="K78" s="46">
        <f>SUM(K75:K77)</f>
        <v>26953.41</v>
      </c>
      <c r="L78" s="19">
        <f>L75+L76+L77</f>
        <v>21886.175999999999</v>
      </c>
      <c r="M78" s="75">
        <f>SUM(M75:M77)</f>
        <v>14</v>
      </c>
      <c r="N78" s="76">
        <f>SUM(N75:N77)</f>
        <v>46.2</v>
      </c>
      <c r="O78" s="77">
        <f>SUM(O75:O77)</f>
        <v>51</v>
      </c>
    </row>
    <row r="80" spans="1:16" x14ac:dyDescent="0.3">
      <c r="L80" s="1" t="s">
        <v>130</v>
      </c>
      <c r="M80" s="37">
        <f>F78</f>
        <v>2</v>
      </c>
    </row>
    <row r="81" spans="12:13" x14ac:dyDescent="0.3">
      <c r="L81" s="1" t="s">
        <v>131</v>
      </c>
      <c r="M81" s="54">
        <f>M78</f>
        <v>14</v>
      </c>
    </row>
    <row r="82" spans="12:13" x14ac:dyDescent="0.3">
      <c r="L82" s="1" t="s">
        <v>132</v>
      </c>
      <c r="M82" s="37">
        <f>SUM(M80:M81)</f>
        <v>16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82"/>
  <sheetViews>
    <sheetView zoomScale="60" zoomScaleNormal="60" workbookViewId="0">
      <selection activeCell="C7" sqref="C7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7" t="s">
        <v>93</v>
      </c>
    </row>
    <row r="7" spans="1:10" x14ac:dyDescent="0.3">
      <c r="A7" s="6">
        <v>2</v>
      </c>
      <c r="B7" s="6" t="s">
        <v>13</v>
      </c>
      <c r="C7" s="8">
        <v>3508.84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1973.43</v>
      </c>
      <c r="D8" s="9"/>
      <c r="E8" s="10"/>
    </row>
    <row r="9" spans="1:10" x14ac:dyDescent="0.3">
      <c r="A9" s="6">
        <v>4</v>
      </c>
      <c r="B9" s="6" t="s">
        <v>16</v>
      </c>
      <c r="C9" s="12">
        <v>1520.09</v>
      </c>
      <c r="D9" s="9"/>
      <c r="E9" s="10"/>
    </row>
    <row r="10" spans="1:10" x14ac:dyDescent="0.3">
      <c r="A10" s="6">
        <v>5</v>
      </c>
      <c r="B10" s="6" t="s">
        <v>17</v>
      </c>
      <c r="C10" s="13">
        <v>1102.76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14">
        <v>4.8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CGO_PLOT_DIMENSIONS!I17</f>
        <v>73.2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16842.432000000001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5052.7295999999997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21895.161599999999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CGO_PLOT_DIMENSIONS!H17</f>
        <v>3145.08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9435.24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20395.161599999999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271.93548800000002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311.93548800000002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31.193548800000002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343.12903679999999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12009.516287999999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9435.24</v>
      </c>
    </row>
    <row r="44" spans="1:13" x14ac:dyDescent="0.3">
      <c r="A44" s="14">
        <v>9</v>
      </c>
      <c r="B44" s="14" t="s">
        <v>51</v>
      </c>
      <c r="C44" s="27">
        <f>C42-C43</f>
        <v>2574.2762879999991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2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1973.43</v>
      </c>
      <c r="D49" s="33">
        <v>24</v>
      </c>
      <c r="E49" s="34">
        <f>24/3.3</f>
        <v>7.2727272727272734</v>
      </c>
      <c r="F49" s="35">
        <f>MIN(ROUNDUP(C44 /C49, 0), 10)</f>
        <v>2</v>
      </c>
      <c r="G49" s="35">
        <f>C49*F49</f>
        <v>3946.86</v>
      </c>
      <c r="H49" s="20">
        <f>F49* $C$18</f>
        <v>4.8</v>
      </c>
      <c r="I49" s="36">
        <f>D49-H49</f>
        <v>19.2</v>
      </c>
      <c r="J49" s="37">
        <f>INT(I49/C17)</f>
        <v>5</v>
      </c>
      <c r="K49" s="38">
        <f>J49 * $C$17</f>
        <v>16.5</v>
      </c>
      <c r="L49" s="20">
        <f>C49*J49</f>
        <v>9867.15</v>
      </c>
      <c r="M49" s="20">
        <f>( F49* C18 ) + ( J49 * C17 )</f>
        <v>21.3</v>
      </c>
    </row>
    <row r="50" spans="1:13" x14ac:dyDescent="0.3">
      <c r="A50" s="6" t="s">
        <v>67</v>
      </c>
      <c r="B50" s="6" t="s">
        <v>4</v>
      </c>
      <c r="C50" s="18">
        <f>C9</f>
        <v>1520.09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6080.36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1102.76</v>
      </c>
      <c r="D51" s="39">
        <f>$C$15 - 37.5</f>
        <v>35.700000000000003</v>
      </c>
      <c r="E51" s="9">
        <f>INT(D51/C17)</f>
        <v>10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35.700000000000003</v>
      </c>
      <c r="J51" s="37">
        <f>INT(I51/C17)</f>
        <v>10</v>
      </c>
      <c r="K51" s="41">
        <f>J51 * $C$17</f>
        <v>33</v>
      </c>
      <c r="L51" s="20">
        <f>C51*J51</f>
        <v>11027.6</v>
      </c>
      <c r="M51" s="20">
        <f>( F51* C18 ) + ( J51 * C17 )</f>
        <v>33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2</v>
      </c>
      <c r="G52" s="44">
        <f>SUM(G49:G51)</f>
        <v>3946.86</v>
      </c>
      <c r="H52" s="19">
        <f>SUM(H49:H51)</f>
        <v>4.8</v>
      </c>
      <c r="I52" s="45" t="s">
        <v>71</v>
      </c>
      <c r="J52" s="46">
        <f>SUM(J49:J51)</f>
        <v>19</v>
      </c>
      <c r="K52" s="46">
        <f>SUM(K49:K51)</f>
        <v>62.7</v>
      </c>
      <c r="L52" s="19">
        <f>L49+L50+L51</f>
        <v>26975.11</v>
      </c>
      <c r="M52" s="47">
        <f>SUM(M49:M51)</f>
        <v>67.5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73.2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2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4.8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68.25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67.650000000000006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62.7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20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22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19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21</v>
      </c>
      <c r="D67" s="14"/>
    </row>
    <row r="68" spans="1:16" x14ac:dyDescent="0.3">
      <c r="A68" s="14">
        <v>13</v>
      </c>
      <c r="B68" s="51" t="s">
        <v>84</v>
      </c>
      <c r="C68" s="52">
        <f>C24</f>
        <v>21895.161599999999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26975.11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1973.43</v>
      </c>
      <c r="D75" s="33">
        <v>24</v>
      </c>
      <c r="E75" s="34">
        <f>24/3.3</f>
        <v>7.2727272727272734</v>
      </c>
      <c r="F75" s="35">
        <f>F49</f>
        <v>2</v>
      </c>
      <c r="G75" s="35">
        <f>G49</f>
        <v>3946.86</v>
      </c>
      <c r="H75" s="20">
        <f>H49</f>
        <v>4.8</v>
      </c>
      <c r="I75" s="36">
        <f>D75-H75</f>
        <v>19.2</v>
      </c>
      <c r="J75" s="37">
        <f>INT(I75/C17)</f>
        <v>5</v>
      </c>
      <c r="K75" s="38">
        <f>J75*C75</f>
        <v>9867.15</v>
      </c>
      <c r="L75" s="20">
        <f>MIN(C24, K75)</f>
        <v>9867.15</v>
      </c>
      <c r="M75" s="20">
        <f>ROUNDDOWN((L75/C75),0)</f>
        <v>5</v>
      </c>
      <c r="N75" s="1">
        <f>C17*M75</f>
        <v>16.5</v>
      </c>
      <c r="O75" s="54">
        <f>H75+N75</f>
        <v>21.3</v>
      </c>
    </row>
    <row r="76" spans="1:16" x14ac:dyDescent="0.3">
      <c r="A76" s="6" t="s">
        <v>67</v>
      </c>
      <c r="B76" s="6" t="s">
        <v>4</v>
      </c>
      <c r="C76" s="18">
        <f>C9</f>
        <v>1520.09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6080.36</v>
      </c>
      <c r="L76" s="20">
        <f>MAX(0, MIN(K76, C24 - L75))</f>
        <v>6080.36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1102.76</v>
      </c>
      <c r="D77" s="39">
        <f>$C$15 - 37.5</f>
        <v>35.700000000000003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35.700000000000003</v>
      </c>
      <c r="J77" s="37">
        <f>INT(I77/C17)</f>
        <v>10</v>
      </c>
      <c r="K77" s="38">
        <f t="shared" si="1"/>
        <v>11027.6</v>
      </c>
      <c r="L77" s="20">
        <f>MAX(0, MIN(K77, C24 - L75 - L76))</f>
        <v>5947.6516000000001</v>
      </c>
      <c r="M77" s="20">
        <f t="shared" si="2"/>
        <v>5</v>
      </c>
      <c r="N77" s="1">
        <f>C17*M77</f>
        <v>16.5</v>
      </c>
      <c r="O77" s="54">
        <f t="shared" si="3"/>
        <v>16.5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2</v>
      </c>
      <c r="G78" s="44">
        <f>SUM(G75:G77)</f>
        <v>3946.86</v>
      </c>
      <c r="H78" s="19">
        <f>SUM(H75:H77)</f>
        <v>4.8</v>
      </c>
      <c r="I78" s="45" t="s">
        <v>71</v>
      </c>
      <c r="J78" s="46">
        <f>SUM(J75:J77)</f>
        <v>19</v>
      </c>
      <c r="K78" s="46">
        <f>SUM(K75:K77)</f>
        <v>26975.11</v>
      </c>
      <c r="L78" s="19">
        <f>L75+L76+L77</f>
        <v>21895.161599999999</v>
      </c>
      <c r="M78" s="75">
        <f>SUM(M75:M77)</f>
        <v>14</v>
      </c>
      <c r="N78" s="76">
        <f>SUM(N75:N77)</f>
        <v>46.2</v>
      </c>
      <c r="O78" s="77">
        <f>SUM(O75:O77)</f>
        <v>51</v>
      </c>
    </row>
    <row r="80" spans="1:16" x14ac:dyDescent="0.3">
      <c r="L80" s="1" t="s">
        <v>130</v>
      </c>
      <c r="M80" s="37">
        <f>F78</f>
        <v>2</v>
      </c>
    </row>
    <row r="81" spans="12:13" x14ac:dyDescent="0.3">
      <c r="L81" s="1" t="s">
        <v>131</v>
      </c>
      <c r="M81" s="54">
        <f>M78</f>
        <v>14</v>
      </c>
    </row>
    <row r="82" spans="12:13" x14ac:dyDescent="0.3">
      <c r="L82" s="1" t="s">
        <v>132</v>
      </c>
      <c r="M82" s="37">
        <f>SUM(M80:M81)</f>
        <v>16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82"/>
  <sheetViews>
    <sheetView topLeftCell="A36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62" t="s">
        <v>94</v>
      </c>
    </row>
    <row r="7" spans="1:10" x14ac:dyDescent="0.3">
      <c r="A7" s="6">
        <v>2</v>
      </c>
      <c r="B7" s="6" t="s">
        <v>13</v>
      </c>
      <c r="C7" s="8">
        <v>3167.73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1725.87</v>
      </c>
      <c r="D8" s="9"/>
      <c r="E8" s="10"/>
    </row>
    <row r="9" spans="1:10" x14ac:dyDescent="0.3">
      <c r="A9" s="6">
        <v>4</v>
      </c>
      <c r="B9" s="6" t="s">
        <v>16</v>
      </c>
      <c r="C9" s="12">
        <v>1315.39</v>
      </c>
      <c r="D9" s="9"/>
      <c r="E9" s="10"/>
    </row>
    <row r="10" spans="1:10" x14ac:dyDescent="0.3">
      <c r="A10" s="6">
        <v>5</v>
      </c>
      <c r="B10" s="6" t="s">
        <v>17</v>
      </c>
      <c r="C10" s="13">
        <v>940.54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58">
        <f>CGO_PLOT_DIMENSIONS!G9</f>
        <v>10.8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CGO_PLOT_DIMENSIONS!I9</f>
        <v>164.7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34211.484000000004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10263.4452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44474.929200000006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CGO_PLOT_DIMENSIONS!H9</f>
        <v>2826.33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8478.99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42974.929200000006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572.99905600000011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612.99905600000011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61.299905600000017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674.2989616000001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23600.463656000004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8478.99</v>
      </c>
    </row>
    <row r="44" spans="1:13" x14ac:dyDescent="0.3">
      <c r="A44" s="14">
        <v>9</v>
      </c>
      <c r="B44" s="14" t="s">
        <v>51</v>
      </c>
      <c r="C44" s="27">
        <f>C42-C43</f>
        <v>15121.473656000004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9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1725.87</v>
      </c>
      <c r="D49" s="33">
        <v>24</v>
      </c>
      <c r="E49" s="34">
        <f>24/3.3</f>
        <v>7.2727272727272734</v>
      </c>
      <c r="F49" s="35">
        <f>MIN(ROUNDUP(C44 /C49, 0), 10)</f>
        <v>9</v>
      </c>
      <c r="G49" s="35">
        <f>C49*F49</f>
        <v>15532.829999999998</v>
      </c>
      <c r="H49" s="20">
        <f>F49* $C$18</f>
        <v>21.599999999999998</v>
      </c>
      <c r="I49" s="36">
        <f>D49-H49</f>
        <v>2.4000000000000021</v>
      </c>
      <c r="J49" s="37">
        <f>INT(I49/C17)</f>
        <v>0</v>
      </c>
      <c r="K49" s="38">
        <f>J49 * $C$17</f>
        <v>0</v>
      </c>
      <c r="L49" s="20">
        <f>C49*J49</f>
        <v>0</v>
      </c>
      <c r="M49" s="20">
        <f>( F49* C18 ) + ( J49 * C17 )</f>
        <v>21.599999999999998</v>
      </c>
    </row>
    <row r="50" spans="1:13" x14ac:dyDescent="0.3">
      <c r="A50" s="6" t="s">
        <v>67</v>
      </c>
      <c r="B50" s="6" t="s">
        <v>4</v>
      </c>
      <c r="C50" s="18">
        <f>C9</f>
        <v>1315.39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5261.56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940.54</v>
      </c>
      <c r="D51" s="39">
        <f>$C$15 - 37.5</f>
        <v>127.19999999999999</v>
      </c>
      <c r="E51" s="9">
        <f>INT(D51/C17)</f>
        <v>38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127.19999999999999</v>
      </c>
      <c r="J51" s="37">
        <f>INT(I51/C17)</f>
        <v>38</v>
      </c>
      <c r="K51" s="41">
        <f>J51 * $C$17</f>
        <v>125.39999999999999</v>
      </c>
      <c r="L51" s="20">
        <f>C51*J51</f>
        <v>35740.519999999997</v>
      </c>
      <c r="M51" s="20">
        <f>( F51* C18 ) + ( J51 * C17 )</f>
        <v>125.39999999999999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9</v>
      </c>
      <c r="G52" s="44">
        <f>SUM(G49:G51)</f>
        <v>15532.829999999998</v>
      </c>
      <c r="H52" s="19">
        <f>SUM(H49:H51)</f>
        <v>21.599999999999998</v>
      </c>
      <c r="I52" s="45" t="s">
        <v>71</v>
      </c>
      <c r="J52" s="46">
        <f>SUM(J49:J51)</f>
        <v>42</v>
      </c>
      <c r="K52" s="46">
        <f>SUM(K49:K51)</f>
        <v>138.6</v>
      </c>
      <c r="L52" s="19">
        <f>L49+L50+L51</f>
        <v>41002.079999999994</v>
      </c>
      <c r="M52" s="47">
        <f>SUM(M49:M51)</f>
        <v>160.19999999999999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164.7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9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21.599999999999998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142.94999999999999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160.35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138.6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43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52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42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51</v>
      </c>
      <c r="D67" s="14"/>
    </row>
    <row r="68" spans="1:16" x14ac:dyDescent="0.3">
      <c r="A68" s="14">
        <v>13</v>
      </c>
      <c r="B68" s="51" t="s">
        <v>84</v>
      </c>
      <c r="C68" s="52">
        <f>C24</f>
        <v>44474.929200000006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41002.079999999994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1725.87</v>
      </c>
      <c r="D75" s="33">
        <v>24</v>
      </c>
      <c r="E75" s="34">
        <f>24/3.3</f>
        <v>7.2727272727272734</v>
      </c>
      <c r="F75" s="35">
        <f>F49</f>
        <v>9</v>
      </c>
      <c r="G75" s="35">
        <f>G49</f>
        <v>15532.829999999998</v>
      </c>
      <c r="H75" s="20">
        <f>H49</f>
        <v>21.599999999999998</v>
      </c>
      <c r="I75" s="36">
        <f>D75-H75</f>
        <v>2.4000000000000021</v>
      </c>
      <c r="J75" s="37">
        <f>INT(I75/C17)</f>
        <v>0</v>
      </c>
      <c r="K75" s="38">
        <f>J75*C75</f>
        <v>0</v>
      </c>
      <c r="L75" s="20">
        <f>MIN(C24, K75)</f>
        <v>0</v>
      </c>
      <c r="M75" s="20">
        <f>ROUNDDOWN((L75/C75),0)</f>
        <v>0</v>
      </c>
      <c r="N75" s="1">
        <f>C17*M75</f>
        <v>0</v>
      </c>
      <c r="O75" s="54">
        <f>H75+N75</f>
        <v>21.599999999999998</v>
      </c>
    </row>
    <row r="76" spans="1:16" x14ac:dyDescent="0.3">
      <c r="A76" s="6" t="s">
        <v>67</v>
      </c>
      <c r="B76" s="6" t="s">
        <v>4</v>
      </c>
      <c r="C76" s="18">
        <f>C9</f>
        <v>1315.39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5261.56</v>
      </c>
      <c r="L76" s="20">
        <f>MAX(0, MIN(K76, C24 - L75))</f>
        <v>5261.56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940.54</v>
      </c>
      <c r="D77" s="39">
        <f>$C$15 - 37.5</f>
        <v>127.19999999999999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127.19999999999999</v>
      </c>
      <c r="J77" s="37">
        <f>INT(I77/C17)</f>
        <v>38</v>
      </c>
      <c r="K77" s="38">
        <f t="shared" si="1"/>
        <v>35740.519999999997</v>
      </c>
      <c r="L77" s="20">
        <f>MAX(0, MIN(K77, C24 - L75 - L76))</f>
        <v>35740.519999999997</v>
      </c>
      <c r="M77" s="20">
        <f t="shared" si="2"/>
        <v>38</v>
      </c>
      <c r="N77" s="1">
        <f>C17*M77</f>
        <v>125.39999999999999</v>
      </c>
      <c r="O77" s="54">
        <f t="shared" si="3"/>
        <v>125.39999999999999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9</v>
      </c>
      <c r="G78" s="44">
        <f>SUM(G75:G77)</f>
        <v>15532.829999999998</v>
      </c>
      <c r="H78" s="19">
        <f>SUM(H75:H77)</f>
        <v>21.599999999999998</v>
      </c>
      <c r="I78" s="45" t="s">
        <v>71</v>
      </c>
      <c r="J78" s="46">
        <f>SUM(J75:J77)</f>
        <v>42</v>
      </c>
      <c r="K78" s="46">
        <f>SUM(K75:K77)</f>
        <v>41002.079999999994</v>
      </c>
      <c r="L78" s="19">
        <f>L75+L76+L77</f>
        <v>41002.079999999994</v>
      </c>
      <c r="M78" s="75">
        <f>SUM(M75:M77)</f>
        <v>42</v>
      </c>
      <c r="N78" s="76">
        <f>SUM(N75:N77)</f>
        <v>138.6</v>
      </c>
      <c r="O78" s="77">
        <f>SUM(O75:O77)</f>
        <v>160.19999999999999</v>
      </c>
    </row>
    <row r="80" spans="1:16" x14ac:dyDescent="0.3">
      <c r="L80" s="1" t="s">
        <v>130</v>
      </c>
      <c r="M80" s="37">
        <f>F78</f>
        <v>9</v>
      </c>
    </row>
    <row r="81" spans="12:13" x14ac:dyDescent="0.3">
      <c r="L81" s="1" t="s">
        <v>131</v>
      </c>
      <c r="M81" s="54">
        <f>M78</f>
        <v>42</v>
      </c>
    </row>
    <row r="82" spans="12:13" x14ac:dyDescent="0.3">
      <c r="L82" s="1" t="s">
        <v>132</v>
      </c>
      <c r="M82" s="37">
        <f>SUM(M80:M81)</f>
        <v>51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82"/>
  <sheetViews>
    <sheetView topLeftCell="A44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5" t="s">
        <v>95</v>
      </c>
    </row>
    <row r="7" spans="1:10" x14ac:dyDescent="0.3">
      <c r="A7" s="6">
        <v>2</v>
      </c>
      <c r="B7" s="6" t="s">
        <v>13</v>
      </c>
      <c r="C7" s="56">
        <v>3167.22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1">
        <v>1724.52</v>
      </c>
      <c r="D8" s="9"/>
      <c r="E8" s="10"/>
    </row>
    <row r="9" spans="1:10" x14ac:dyDescent="0.3">
      <c r="A9" s="6">
        <v>4</v>
      </c>
      <c r="B9" s="6" t="s">
        <v>16</v>
      </c>
      <c r="C9" s="12">
        <v>1314.31</v>
      </c>
      <c r="D9" s="9"/>
      <c r="E9" s="10"/>
    </row>
    <row r="10" spans="1:10" x14ac:dyDescent="0.3">
      <c r="A10" s="6">
        <v>5</v>
      </c>
      <c r="B10" s="6" t="s">
        <v>17</v>
      </c>
      <c r="C10" s="13">
        <v>940.3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58">
        <f>CGO_PLOT_DIMENSIONS!G8</f>
        <v>10.8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CGO_PLOT_DIMENSIONS!I8</f>
        <v>164.7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34205.976000000002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10261.792800000001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44467.768800000005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CGO_PLOT_DIMENSIONS!H8</f>
        <v>2825.86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8477.58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42967.768800000005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572.90358400000002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612.90358400000002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61.290358400000002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674.19394239999997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23596.787983999999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8477.58</v>
      </c>
    </row>
    <row r="44" spans="1:13" x14ac:dyDescent="0.3">
      <c r="A44" s="14">
        <v>9</v>
      </c>
      <c r="B44" s="14" t="s">
        <v>51</v>
      </c>
      <c r="C44" s="27">
        <f>C42-C43</f>
        <v>15119.207983999999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9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1724.52</v>
      </c>
      <c r="D49" s="33">
        <v>24</v>
      </c>
      <c r="E49" s="34">
        <f>24/3.3</f>
        <v>7.2727272727272734</v>
      </c>
      <c r="F49" s="35">
        <f>MIN(ROUNDUP(C44 /C49, 0), 10)</f>
        <v>9</v>
      </c>
      <c r="G49" s="35">
        <f>C49*F49</f>
        <v>15520.68</v>
      </c>
      <c r="H49" s="20">
        <f>F49* $C$18</f>
        <v>21.599999999999998</v>
      </c>
      <c r="I49" s="36">
        <f>D49-H49</f>
        <v>2.4000000000000021</v>
      </c>
      <c r="J49" s="37">
        <f>INT(I49/C17)</f>
        <v>0</v>
      </c>
      <c r="K49" s="38">
        <f>J49 * $C$17</f>
        <v>0</v>
      </c>
      <c r="L49" s="20">
        <f>C49*J49</f>
        <v>0</v>
      </c>
      <c r="M49" s="20">
        <f>( F49* C18 ) + ( J49 * C17 )</f>
        <v>21.599999999999998</v>
      </c>
    </row>
    <row r="50" spans="1:13" x14ac:dyDescent="0.3">
      <c r="A50" s="6" t="s">
        <v>67</v>
      </c>
      <c r="B50" s="6" t="s">
        <v>4</v>
      </c>
      <c r="C50" s="18">
        <f>C9</f>
        <v>1314.31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5257.24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940.3</v>
      </c>
      <c r="D51" s="39">
        <f>$C$15 - 37.5</f>
        <v>127.19999999999999</v>
      </c>
      <c r="E51" s="9">
        <f>INT(D51/C17)</f>
        <v>38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127.19999999999999</v>
      </c>
      <c r="J51" s="37">
        <f>INT(I51/C17)</f>
        <v>38</v>
      </c>
      <c r="K51" s="41">
        <f>J51 * $C$17</f>
        <v>125.39999999999999</v>
      </c>
      <c r="L51" s="20">
        <f>C51*J51</f>
        <v>35731.4</v>
      </c>
      <c r="M51" s="20">
        <f>( F51* C18 ) + ( J51 * C17 )</f>
        <v>125.39999999999999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9</v>
      </c>
      <c r="G52" s="44">
        <f>SUM(G49:G51)</f>
        <v>15520.68</v>
      </c>
      <c r="H52" s="19">
        <f>SUM(H49:H51)</f>
        <v>21.599999999999998</v>
      </c>
      <c r="I52" s="45" t="s">
        <v>71</v>
      </c>
      <c r="J52" s="46">
        <f>SUM(J49:J51)</f>
        <v>42</v>
      </c>
      <c r="K52" s="46">
        <f>SUM(K49:K51)</f>
        <v>138.6</v>
      </c>
      <c r="L52" s="19">
        <f>L49+L50+L51</f>
        <v>40988.639999999999</v>
      </c>
      <c r="M52" s="47">
        <f>SUM(M49:M51)</f>
        <v>160.19999999999999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164.7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9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21.599999999999998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142.94999999999999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160.35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138.6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43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52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42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51</v>
      </c>
      <c r="D67" s="14"/>
    </row>
    <row r="68" spans="1:16" x14ac:dyDescent="0.3">
      <c r="A68" s="14">
        <v>13</v>
      </c>
      <c r="B68" s="51" t="s">
        <v>84</v>
      </c>
      <c r="C68" s="52">
        <f>C24</f>
        <v>44467.768800000005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40988.639999999999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1724.52</v>
      </c>
      <c r="D75" s="33">
        <v>24</v>
      </c>
      <c r="E75" s="34">
        <f>24/3.3</f>
        <v>7.2727272727272734</v>
      </c>
      <c r="F75" s="35">
        <f>F49</f>
        <v>9</v>
      </c>
      <c r="G75" s="35">
        <f>G49</f>
        <v>15520.68</v>
      </c>
      <c r="H75" s="20">
        <f>H49</f>
        <v>21.599999999999998</v>
      </c>
      <c r="I75" s="36">
        <f>D75-H75</f>
        <v>2.4000000000000021</v>
      </c>
      <c r="J75" s="37">
        <f>INT(I75/C17)</f>
        <v>0</v>
      </c>
      <c r="K75" s="38">
        <f>J75*C75</f>
        <v>0</v>
      </c>
      <c r="L75" s="20">
        <f>MIN(C24, K75)</f>
        <v>0</v>
      </c>
      <c r="M75" s="20">
        <f>ROUNDDOWN((L75/C75),0)</f>
        <v>0</v>
      </c>
      <c r="N75" s="1">
        <f>C17*M75</f>
        <v>0</v>
      </c>
      <c r="O75" s="54">
        <f>H75+N75</f>
        <v>21.599999999999998</v>
      </c>
    </row>
    <row r="76" spans="1:16" x14ac:dyDescent="0.3">
      <c r="A76" s="6" t="s">
        <v>67</v>
      </c>
      <c r="B76" s="6" t="s">
        <v>4</v>
      </c>
      <c r="C76" s="18">
        <f>C9</f>
        <v>1314.31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5257.24</v>
      </c>
      <c r="L76" s="20">
        <f>MAX(0, MIN(K76, C24 - L75))</f>
        <v>5257.24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940.3</v>
      </c>
      <c r="D77" s="39">
        <f>$C$15 - 37.5</f>
        <v>127.19999999999999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127.19999999999999</v>
      </c>
      <c r="J77" s="37">
        <f>INT(I77/C17)</f>
        <v>38</v>
      </c>
      <c r="K77" s="38">
        <f t="shared" si="1"/>
        <v>35731.4</v>
      </c>
      <c r="L77" s="20">
        <f>MAX(0, MIN(K77, C24 - L75 - L76))</f>
        <v>35731.4</v>
      </c>
      <c r="M77" s="20">
        <f t="shared" si="2"/>
        <v>38</v>
      </c>
      <c r="N77" s="1">
        <f>C17*M77</f>
        <v>125.39999999999999</v>
      </c>
      <c r="O77" s="54">
        <f t="shared" si="3"/>
        <v>125.39999999999999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9</v>
      </c>
      <c r="G78" s="44">
        <f>SUM(G75:G77)</f>
        <v>15520.68</v>
      </c>
      <c r="H78" s="19">
        <f>SUM(H75:H77)</f>
        <v>21.599999999999998</v>
      </c>
      <c r="I78" s="45" t="s">
        <v>71</v>
      </c>
      <c r="J78" s="46">
        <f>SUM(J75:J77)</f>
        <v>42</v>
      </c>
      <c r="K78" s="46">
        <f>SUM(K75:K77)</f>
        <v>40988.639999999999</v>
      </c>
      <c r="L78" s="19">
        <f>L75+L76+L77</f>
        <v>40988.639999999999</v>
      </c>
      <c r="M78" s="75">
        <f>SUM(M75:M77)</f>
        <v>42</v>
      </c>
      <c r="N78" s="76">
        <f>SUM(N75:N77)</f>
        <v>138.6</v>
      </c>
      <c r="O78" s="77">
        <f>SUM(O75:O77)</f>
        <v>160.19999999999999</v>
      </c>
    </row>
    <row r="80" spans="1:16" x14ac:dyDescent="0.3">
      <c r="L80" s="1" t="s">
        <v>130</v>
      </c>
      <c r="M80" s="37">
        <f>F78</f>
        <v>9</v>
      </c>
    </row>
    <row r="81" spans="12:13" x14ac:dyDescent="0.3">
      <c r="L81" s="1" t="s">
        <v>131</v>
      </c>
      <c r="M81" s="54">
        <f>M78</f>
        <v>42</v>
      </c>
    </row>
    <row r="82" spans="12:13" x14ac:dyDescent="0.3">
      <c r="L82" s="1" t="s">
        <v>132</v>
      </c>
      <c r="M82" s="37">
        <f>SUM(M80:M81)</f>
        <v>51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82"/>
  <sheetViews>
    <sheetView topLeftCell="A45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9" t="str">
        <f>CGO_PLOT_DIMENSIONS!B6</f>
        <v>145  3/4</v>
      </c>
    </row>
    <row r="7" spans="1:10" x14ac:dyDescent="0.3">
      <c r="A7" s="6">
        <v>2</v>
      </c>
      <c r="B7" s="6" t="s">
        <v>13</v>
      </c>
      <c r="C7" s="60">
        <f>CGO_PLOT_DIMENSIONS!C6</f>
        <v>3167.85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60">
        <f>CGO_PLOT_DIMENSIONS!D6</f>
        <v>1725.34</v>
      </c>
      <c r="D8" s="9"/>
      <c r="E8" s="10"/>
    </row>
    <row r="9" spans="1:10" x14ac:dyDescent="0.3">
      <c r="A9" s="6">
        <v>4</v>
      </c>
      <c r="B9" s="6" t="s">
        <v>16</v>
      </c>
      <c r="C9" s="60">
        <f>CGO_PLOT_DIMENSIONS!E6</f>
        <v>1314.98</v>
      </c>
      <c r="D9" s="9"/>
      <c r="E9" s="10"/>
    </row>
    <row r="10" spans="1:10" x14ac:dyDescent="0.3">
      <c r="A10" s="6">
        <v>5</v>
      </c>
      <c r="B10" s="6" t="s">
        <v>17</v>
      </c>
      <c r="C10" s="60">
        <f>CGO_PLOT_DIMENSIONS!F6</f>
        <v>940.62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58">
        <f>CGO_PLOT_DIMENSIONS!G6</f>
        <v>10.8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f>CGO_PLOT_DIMENSIONS!I6</f>
        <v>164.7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34212.78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10263.833999999999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44476.614000000001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CGO_PLOT_DIMENSIONS!H6</f>
        <v>2826.44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8479.32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42976.614000000001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573.02152000000001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613.02152000000001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61.302152000000007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674.32367199999999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23601.328519999999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8479.32</v>
      </c>
    </row>
    <row r="44" spans="1:13" x14ac:dyDescent="0.3">
      <c r="A44" s="14">
        <v>9</v>
      </c>
      <c r="B44" s="14" t="s">
        <v>51</v>
      </c>
      <c r="C44" s="27">
        <f>C42-C43</f>
        <v>15122.008519999999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9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1725.34</v>
      </c>
      <c r="D49" s="33">
        <v>24</v>
      </c>
      <c r="E49" s="34">
        <f>24/3.3</f>
        <v>7.2727272727272734</v>
      </c>
      <c r="F49" s="35">
        <f>MIN(ROUNDUP(C44 /C49, 0), 10)</f>
        <v>9</v>
      </c>
      <c r="G49" s="35">
        <f>C49*F49</f>
        <v>15528.06</v>
      </c>
      <c r="H49" s="20">
        <f>F49* $C$18</f>
        <v>21.599999999999998</v>
      </c>
      <c r="I49" s="36">
        <f>D49-H49</f>
        <v>2.4000000000000021</v>
      </c>
      <c r="J49" s="37">
        <f>INT(I49/C17)</f>
        <v>0</v>
      </c>
      <c r="K49" s="38">
        <f>J49 * $C$17</f>
        <v>0</v>
      </c>
      <c r="L49" s="20">
        <f>C49*J49</f>
        <v>0</v>
      </c>
      <c r="M49" s="20">
        <f>( F49* C18 ) + ( J49 * C17 )</f>
        <v>21.599999999999998</v>
      </c>
    </row>
    <row r="50" spans="1:13" x14ac:dyDescent="0.3">
      <c r="A50" s="6" t="s">
        <v>67</v>
      </c>
      <c r="B50" s="6" t="s">
        <v>4</v>
      </c>
      <c r="C50" s="18">
        <f>C9</f>
        <v>1314.98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5259.92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940.62</v>
      </c>
      <c r="D51" s="39">
        <f>$C$15 - 37.5</f>
        <v>127.19999999999999</v>
      </c>
      <c r="E51" s="9">
        <f>INT(D51/C17)</f>
        <v>38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127.19999999999999</v>
      </c>
      <c r="J51" s="37">
        <f>INT(I51/C17)</f>
        <v>38</v>
      </c>
      <c r="K51" s="41">
        <f>J51 * $C$17</f>
        <v>125.39999999999999</v>
      </c>
      <c r="L51" s="20">
        <f>C51*J51</f>
        <v>35743.56</v>
      </c>
      <c r="M51" s="20">
        <f>( F51* C18 ) + ( J51 * C17 )</f>
        <v>125.39999999999999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9</v>
      </c>
      <c r="G52" s="44">
        <f>SUM(G49:G51)</f>
        <v>15528.06</v>
      </c>
      <c r="H52" s="19">
        <f>SUM(H49:H51)</f>
        <v>21.599999999999998</v>
      </c>
      <c r="I52" s="45" t="s">
        <v>96</v>
      </c>
      <c r="J52" s="46">
        <f>SUM(J49:J51)</f>
        <v>42</v>
      </c>
      <c r="K52" s="46">
        <f>SUM(K49:K51)</f>
        <v>138.6</v>
      </c>
      <c r="L52" s="19">
        <f>L49+L50+L51</f>
        <v>41003.479999999996</v>
      </c>
      <c r="M52" s="47">
        <f>SUM(M49:M51)</f>
        <v>160.19999999999999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164.7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9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21.599999999999998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142.94999999999999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160.35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138.6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43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52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42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51</v>
      </c>
      <c r="D67" s="14"/>
    </row>
    <row r="68" spans="1:16" x14ac:dyDescent="0.3">
      <c r="A68" s="14">
        <v>13</v>
      </c>
      <c r="B68" s="51" t="s">
        <v>84</v>
      </c>
      <c r="C68" s="52">
        <f>C24</f>
        <v>44476.614000000001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41003.479999999996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1725.34</v>
      </c>
      <c r="D75" s="33">
        <v>24</v>
      </c>
      <c r="E75" s="34">
        <f>24/3.3</f>
        <v>7.2727272727272734</v>
      </c>
      <c r="F75" s="35">
        <f>F49</f>
        <v>9</v>
      </c>
      <c r="G75" s="35">
        <f>G49</f>
        <v>15528.06</v>
      </c>
      <c r="H75" s="20">
        <f>H49</f>
        <v>21.599999999999998</v>
      </c>
      <c r="I75" s="36">
        <f>D75-H75</f>
        <v>2.4000000000000021</v>
      </c>
      <c r="J75" s="37">
        <f>INT(I75/C17)</f>
        <v>0</v>
      </c>
      <c r="K75" s="38">
        <f>J75*C75</f>
        <v>0</v>
      </c>
      <c r="L75" s="20">
        <f>MIN(C24, K75)</f>
        <v>0</v>
      </c>
      <c r="M75" s="20">
        <f>ROUNDDOWN((L75/C75),0)</f>
        <v>0</v>
      </c>
      <c r="N75" s="1">
        <f>C17*M75</f>
        <v>0</v>
      </c>
      <c r="O75" s="54">
        <f>H75+N75</f>
        <v>21.599999999999998</v>
      </c>
    </row>
    <row r="76" spans="1:16" x14ac:dyDescent="0.3">
      <c r="A76" s="6" t="s">
        <v>67</v>
      </c>
      <c r="B76" s="6" t="s">
        <v>4</v>
      </c>
      <c r="C76" s="18">
        <f>C9</f>
        <v>1314.98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5259.92</v>
      </c>
      <c r="L76" s="20">
        <f>MAX(0, MIN(K76, C24 - L75))</f>
        <v>5259.92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940.62</v>
      </c>
      <c r="D77" s="39">
        <f>$C$15 - 37.5</f>
        <v>127.19999999999999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127.19999999999999</v>
      </c>
      <c r="J77" s="37">
        <f>INT(I77/C17)</f>
        <v>38</v>
      </c>
      <c r="K77" s="38">
        <f t="shared" si="1"/>
        <v>35743.56</v>
      </c>
      <c r="L77" s="20">
        <f>MAX(0, MIN(K77, C24 - L75 - L76))</f>
        <v>35743.56</v>
      </c>
      <c r="M77" s="20">
        <f t="shared" si="2"/>
        <v>38</v>
      </c>
      <c r="N77" s="1">
        <f>C17*M77</f>
        <v>125.39999999999999</v>
      </c>
      <c r="O77" s="54">
        <f t="shared" si="3"/>
        <v>125.39999999999999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9</v>
      </c>
      <c r="G78" s="44">
        <f>SUM(G75:G77)</f>
        <v>15528.06</v>
      </c>
      <c r="H78" s="19">
        <f>SUM(H75:H77)</f>
        <v>21.599999999999998</v>
      </c>
      <c r="I78" s="45" t="s">
        <v>96</v>
      </c>
      <c r="J78" s="46">
        <f>SUM(J75:J77)</f>
        <v>42</v>
      </c>
      <c r="K78" s="46">
        <f>SUM(K75:K77)</f>
        <v>41003.479999999996</v>
      </c>
      <c r="L78" s="19">
        <f>L75+L76+L77</f>
        <v>41003.479999999996</v>
      </c>
      <c r="M78" s="75">
        <f>SUM(M75:M77)</f>
        <v>42</v>
      </c>
      <c r="N78" s="76">
        <f>SUM(N75:N77)</f>
        <v>138.6</v>
      </c>
      <c r="O78" s="77">
        <f>SUM(O75:O77)</f>
        <v>160.19999999999999</v>
      </c>
    </row>
    <row r="80" spans="1:16" x14ac:dyDescent="0.3">
      <c r="L80" s="1" t="s">
        <v>130</v>
      </c>
      <c r="M80" s="37">
        <f>F78</f>
        <v>9</v>
      </c>
    </row>
    <row r="81" spans="12:13" x14ac:dyDescent="0.3">
      <c r="L81" s="1" t="s">
        <v>131</v>
      </c>
      <c r="M81" s="54">
        <f>M78</f>
        <v>42</v>
      </c>
    </row>
    <row r="82" spans="12:13" x14ac:dyDescent="0.3">
      <c r="L82" s="1" t="s">
        <v>132</v>
      </c>
      <c r="M82" s="37">
        <f>SUM(M80:M81)</f>
        <v>51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82"/>
  <sheetViews>
    <sheetView topLeftCell="A35" zoomScale="60" zoomScaleNormal="60" workbookViewId="0">
      <selection activeCell="L83" sqref="L83"/>
    </sheetView>
  </sheetViews>
  <sheetFormatPr defaultColWidth="15.77734375" defaultRowHeight="14.4" x14ac:dyDescent="0.3"/>
  <cols>
    <col min="1" max="1" width="15.77734375" style="1"/>
    <col min="2" max="2" width="42.5546875" style="1" customWidth="1"/>
    <col min="3" max="3" width="20.6640625" style="1" customWidth="1"/>
    <col min="4" max="7" width="15.77734375" style="1"/>
    <col min="8" max="8" width="23.44140625" style="1" customWidth="1"/>
    <col min="9" max="9" width="18.44140625" style="1" customWidth="1"/>
    <col min="10" max="10" width="22.77734375" style="1" customWidth="1"/>
    <col min="11" max="11" width="24.21875" style="1" customWidth="1"/>
    <col min="12" max="12" width="16.44140625" style="1" customWidth="1"/>
    <col min="13" max="13" width="15.77734375" style="1"/>
    <col min="14" max="14" width="27.5546875" style="1" customWidth="1"/>
    <col min="15" max="16384" width="15.77734375" style="1"/>
  </cols>
  <sheetData>
    <row r="1" spans="1:10" ht="15" customHeight="1" x14ac:dyDescent="0.3">
      <c r="A1" s="80" t="s">
        <v>5</v>
      </c>
      <c r="B1" s="80"/>
      <c r="C1" s="80"/>
      <c r="D1" s="80"/>
    </row>
    <row r="2" spans="1:10" x14ac:dyDescent="0.3">
      <c r="A2" s="81" t="s">
        <v>0</v>
      </c>
      <c r="B2" s="81"/>
      <c r="C2" s="81"/>
      <c r="D2" s="81"/>
    </row>
    <row r="4" spans="1:10" ht="14.25" customHeight="1" x14ac:dyDescent="0.3">
      <c r="A4" s="78" t="s">
        <v>6</v>
      </c>
      <c r="B4" s="78"/>
      <c r="C4" s="78"/>
      <c r="D4" s="78"/>
      <c r="E4" s="2"/>
      <c r="F4" s="3"/>
      <c r="G4" s="3"/>
      <c r="H4" s="3"/>
      <c r="I4" s="3"/>
      <c r="J4" s="3"/>
    </row>
    <row r="5" spans="1:10" x14ac:dyDescent="0.3">
      <c r="A5" s="4" t="s">
        <v>7</v>
      </c>
      <c r="B5" s="4" t="s">
        <v>8</v>
      </c>
      <c r="C5" s="4" t="s">
        <v>9</v>
      </c>
      <c r="D5" s="4" t="s">
        <v>10</v>
      </c>
      <c r="E5" s="5"/>
    </row>
    <row r="6" spans="1:10" x14ac:dyDescent="0.3">
      <c r="A6" s="6">
        <v>1</v>
      </c>
      <c r="B6" s="6" t="s">
        <v>11</v>
      </c>
      <c r="C6" s="59" t="str">
        <f>CGO_PLOT_DIMENSIONS!B5</f>
        <v>145  1/2</v>
      </c>
    </row>
    <row r="7" spans="1:10" x14ac:dyDescent="0.3">
      <c r="A7" s="6">
        <v>2</v>
      </c>
      <c r="B7" s="6" t="s">
        <v>13</v>
      </c>
      <c r="C7" s="18">
        <f>CGO_PLOT_DIMENSIONS!C5</f>
        <v>3167.09</v>
      </c>
      <c r="D7" s="9" t="s">
        <v>14</v>
      </c>
      <c r="E7" s="10"/>
    </row>
    <row r="8" spans="1:10" x14ac:dyDescent="0.3">
      <c r="A8" s="6">
        <v>3</v>
      </c>
      <c r="B8" s="6" t="s">
        <v>15</v>
      </c>
      <c r="C8" s="18">
        <f>CGO_PLOT_DIMENSIONS!D5</f>
        <v>1724.47</v>
      </c>
      <c r="D8" s="9"/>
      <c r="E8" s="10"/>
    </row>
    <row r="9" spans="1:10" x14ac:dyDescent="0.3">
      <c r="A9" s="6">
        <v>4</v>
      </c>
      <c r="B9" s="6" t="s">
        <v>16</v>
      </c>
      <c r="C9" s="18">
        <f>CGO_PLOT_DIMENSIONS!E5</f>
        <v>1314.53</v>
      </c>
      <c r="D9" s="9"/>
      <c r="E9" s="10"/>
    </row>
    <row r="10" spans="1:10" x14ac:dyDescent="0.3">
      <c r="A10" s="6">
        <v>5</v>
      </c>
      <c r="B10" s="6" t="s">
        <v>17</v>
      </c>
      <c r="C10" s="18">
        <f>CGO_PLOT_DIMENSIONS!F6</f>
        <v>940.62</v>
      </c>
      <c r="D10" s="9" t="s">
        <v>14</v>
      </c>
      <c r="E10" s="10"/>
    </row>
    <row r="11" spans="1:10" x14ac:dyDescent="0.3">
      <c r="A11" s="6">
        <v>6</v>
      </c>
      <c r="B11" s="6" t="s">
        <v>18</v>
      </c>
      <c r="C11" s="58">
        <v>10.8</v>
      </c>
      <c r="D11" s="9" t="s">
        <v>19</v>
      </c>
      <c r="E11" s="10"/>
    </row>
    <row r="12" spans="1:10" x14ac:dyDescent="0.3">
      <c r="A12" s="6">
        <v>7</v>
      </c>
      <c r="B12" s="15" t="s">
        <v>20</v>
      </c>
      <c r="C12" s="16">
        <v>0.3</v>
      </c>
      <c r="D12" s="9" t="s">
        <v>21</v>
      </c>
      <c r="E12" s="10"/>
    </row>
    <row r="13" spans="1:10" x14ac:dyDescent="0.3">
      <c r="A13" s="6">
        <v>8</v>
      </c>
      <c r="B13" s="6" t="s">
        <v>22</v>
      </c>
      <c r="C13" s="17" t="s">
        <v>23</v>
      </c>
    </row>
    <row r="14" spans="1:10" x14ac:dyDescent="0.3">
      <c r="A14" s="6">
        <v>7</v>
      </c>
      <c r="B14" s="6" t="s">
        <v>24</v>
      </c>
      <c r="C14" s="17" t="s">
        <v>25</v>
      </c>
    </row>
    <row r="15" spans="1:10" x14ac:dyDescent="0.3">
      <c r="A15" s="6">
        <v>10</v>
      </c>
      <c r="B15" s="6" t="s">
        <v>26</v>
      </c>
      <c r="C15" s="18">
        <v>164.7</v>
      </c>
      <c r="D15" s="9" t="s">
        <v>27</v>
      </c>
      <c r="E15" s="10"/>
    </row>
    <row r="16" spans="1:10" x14ac:dyDescent="0.3">
      <c r="A16" s="6">
        <v>11</v>
      </c>
      <c r="B16" s="6" t="s">
        <v>28</v>
      </c>
      <c r="C16" s="18">
        <v>0.15</v>
      </c>
      <c r="D16" s="9" t="s">
        <v>27</v>
      </c>
      <c r="E16" s="10"/>
    </row>
    <row r="17" spans="1:10" x14ac:dyDescent="0.3">
      <c r="A17" s="6">
        <v>12</v>
      </c>
      <c r="B17" s="6" t="s">
        <v>29</v>
      </c>
      <c r="C17" s="18">
        <v>3.3</v>
      </c>
      <c r="D17" s="9" t="s">
        <v>27</v>
      </c>
      <c r="E17" s="10"/>
    </row>
    <row r="18" spans="1:10" x14ac:dyDescent="0.3">
      <c r="A18" s="6">
        <v>13</v>
      </c>
      <c r="B18" s="6" t="s">
        <v>30</v>
      </c>
      <c r="C18" s="18">
        <v>2.4</v>
      </c>
      <c r="D18" s="9" t="s">
        <v>27</v>
      </c>
      <c r="E18" s="10"/>
    </row>
    <row r="20" spans="1:10" ht="14.25" customHeight="1" x14ac:dyDescent="0.3">
      <c r="A20" s="78" t="s">
        <v>31</v>
      </c>
      <c r="B20" s="78"/>
      <c r="C20" s="78"/>
      <c r="D20" s="78"/>
      <c r="E20" s="2"/>
      <c r="F20" s="3"/>
      <c r="G20" s="3"/>
      <c r="H20" s="3"/>
      <c r="I20" s="3"/>
      <c r="J20" s="3"/>
    </row>
    <row r="21" spans="1:10" x14ac:dyDescent="0.3">
      <c r="A21" s="4" t="s">
        <v>7</v>
      </c>
      <c r="B21" s="4" t="s">
        <v>8</v>
      </c>
      <c r="C21" s="4" t="s">
        <v>9</v>
      </c>
      <c r="D21" s="4" t="s">
        <v>10</v>
      </c>
      <c r="E21" s="5"/>
    </row>
    <row r="22" spans="1:10" x14ac:dyDescent="0.3">
      <c r="A22" s="6">
        <v>1</v>
      </c>
      <c r="B22" s="6" t="s">
        <v>32</v>
      </c>
      <c r="C22" s="19">
        <f>C7*C11</f>
        <v>34204.572000000007</v>
      </c>
      <c r="D22" s="9" t="s">
        <v>14</v>
      </c>
      <c r="E22" s="10"/>
    </row>
    <row r="23" spans="1:10" x14ac:dyDescent="0.3">
      <c r="A23" s="6">
        <v>2</v>
      </c>
      <c r="B23" s="15" t="s">
        <v>20</v>
      </c>
      <c r="C23" s="20">
        <f>C22*C12</f>
        <v>10261.371600000002</v>
      </c>
      <c r="D23" s="9" t="s">
        <v>14</v>
      </c>
      <c r="E23" s="10"/>
    </row>
    <row r="24" spans="1:10" x14ac:dyDescent="0.3">
      <c r="A24" s="6">
        <v>3</v>
      </c>
      <c r="B24" s="6" t="s">
        <v>33</v>
      </c>
      <c r="C24" s="19">
        <f>C22+C23</f>
        <v>44465.943600000013</v>
      </c>
      <c r="D24" s="9" t="s">
        <v>14</v>
      </c>
      <c r="E24" s="10"/>
    </row>
    <row r="26" spans="1:10" ht="14.25" customHeight="1" x14ac:dyDescent="0.3">
      <c r="A26" s="78" t="s">
        <v>34</v>
      </c>
      <c r="B26" s="78"/>
      <c r="C26" s="78"/>
      <c r="D26" s="78"/>
      <c r="E26" s="2"/>
      <c r="F26" s="3"/>
      <c r="G26" s="3"/>
      <c r="H26" s="3"/>
      <c r="I26" s="3"/>
      <c r="J26" s="3"/>
    </row>
    <row r="27" spans="1:10" x14ac:dyDescent="0.3">
      <c r="A27" s="4" t="s">
        <v>7</v>
      </c>
      <c r="B27" s="4" t="s">
        <v>8</v>
      </c>
      <c r="C27" s="4" t="s">
        <v>9</v>
      </c>
      <c r="D27" s="4" t="s">
        <v>10</v>
      </c>
      <c r="E27" s="5"/>
    </row>
    <row r="28" spans="1:10" x14ac:dyDescent="0.3">
      <c r="A28" s="6">
        <v>1</v>
      </c>
      <c r="B28" s="6" t="s">
        <v>35</v>
      </c>
      <c r="C28" s="18">
        <v>1.5</v>
      </c>
      <c r="D28" s="9" t="s">
        <v>27</v>
      </c>
      <c r="E28" s="10"/>
    </row>
    <row r="29" spans="1:10" ht="27" customHeight="1" x14ac:dyDescent="0.3">
      <c r="A29" s="6">
        <v>2</v>
      </c>
      <c r="B29" s="6" t="s">
        <v>36</v>
      </c>
      <c r="C29" s="18">
        <f>CGO_PLOT_DIMENSIONS!H5</f>
        <v>2825.34</v>
      </c>
      <c r="D29" s="9" t="s">
        <v>14</v>
      </c>
      <c r="E29" s="10"/>
    </row>
    <row r="30" spans="1:10" x14ac:dyDescent="0.3">
      <c r="A30" s="6">
        <v>3</v>
      </c>
      <c r="B30" s="6" t="s">
        <v>37</v>
      </c>
      <c r="C30" s="18">
        <v>3</v>
      </c>
      <c r="D30" s="9" t="s">
        <v>38</v>
      </c>
      <c r="E30" s="10"/>
    </row>
    <row r="31" spans="1:10" x14ac:dyDescent="0.3">
      <c r="A31" s="6">
        <v>4</v>
      </c>
      <c r="B31" s="6" t="s">
        <v>39</v>
      </c>
      <c r="C31" s="18">
        <v>3.3</v>
      </c>
      <c r="D31" s="9" t="s">
        <v>27</v>
      </c>
      <c r="E31" s="10"/>
    </row>
    <row r="32" spans="1:10" x14ac:dyDescent="0.3">
      <c r="A32" s="6">
        <v>5</v>
      </c>
      <c r="B32" s="6" t="s">
        <v>40</v>
      </c>
      <c r="C32" s="19">
        <f>C30*C29</f>
        <v>8476.02</v>
      </c>
      <c r="D32" s="9" t="s">
        <v>14</v>
      </c>
      <c r="E32" s="10"/>
    </row>
    <row r="34" spans="1:13" x14ac:dyDescent="0.3">
      <c r="A34" s="79" t="s">
        <v>41</v>
      </c>
      <c r="B34" s="79"/>
      <c r="C34" s="79"/>
      <c r="D34" s="79"/>
      <c r="E34" s="21"/>
    </row>
    <row r="35" spans="1:13" x14ac:dyDescent="0.3">
      <c r="A35" s="22" t="s">
        <v>7</v>
      </c>
      <c r="B35" s="22" t="s">
        <v>8</v>
      </c>
      <c r="C35" s="22" t="s">
        <v>42</v>
      </c>
      <c r="D35" s="22" t="s">
        <v>10</v>
      </c>
      <c r="E35" s="23"/>
    </row>
    <row r="36" spans="1:13" x14ac:dyDescent="0.3">
      <c r="A36" s="14">
        <v>1</v>
      </c>
      <c r="B36" s="15" t="s">
        <v>43</v>
      </c>
      <c r="C36" s="24">
        <f>IF(C32&lt;=1500, C32/37.5, 1500/37.5)</f>
        <v>40</v>
      </c>
      <c r="D36" s="14" t="s">
        <v>38</v>
      </c>
    </row>
    <row r="37" spans="1:13" x14ac:dyDescent="0.3">
      <c r="A37" s="14">
        <v>2</v>
      </c>
      <c r="B37" s="25" t="s">
        <v>44</v>
      </c>
      <c r="C37" s="26">
        <f>C24-1500</f>
        <v>42965.943600000013</v>
      </c>
      <c r="D37" s="25" t="s">
        <v>14</v>
      </c>
    </row>
    <row r="38" spans="1:13" x14ac:dyDescent="0.3">
      <c r="A38" s="14">
        <v>3</v>
      </c>
      <c r="B38" s="15" t="s">
        <v>45</v>
      </c>
      <c r="C38" s="24">
        <f>IF(C24&gt;1500, (C24-1500)/75, 0)</f>
        <v>572.87924800000019</v>
      </c>
      <c r="D38" s="14" t="s">
        <v>38</v>
      </c>
    </row>
    <row r="39" spans="1:13" x14ac:dyDescent="0.3">
      <c r="A39" s="14">
        <v>4</v>
      </c>
      <c r="B39" s="15" t="s">
        <v>46</v>
      </c>
      <c r="C39" s="24">
        <f>C36+C38</f>
        <v>612.87924800000019</v>
      </c>
      <c r="D39" s="14" t="s">
        <v>38</v>
      </c>
    </row>
    <row r="40" spans="1:13" x14ac:dyDescent="0.3">
      <c r="A40" s="14">
        <v>5</v>
      </c>
      <c r="B40" s="15" t="s">
        <v>47</v>
      </c>
      <c r="C40" s="24">
        <f>C39*0.1</f>
        <v>61.28792480000002</v>
      </c>
      <c r="D40" s="14" t="s">
        <v>38</v>
      </c>
    </row>
    <row r="41" spans="1:13" x14ac:dyDescent="0.3">
      <c r="A41" s="14">
        <v>6</v>
      </c>
      <c r="B41" s="15" t="s">
        <v>48</v>
      </c>
      <c r="C41" s="24">
        <f>C39+C40</f>
        <v>674.16717280000023</v>
      </c>
      <c r="D41" s="14" t="s">
        <v>38</v>
      </c>
    </row>
    <row r="42" spans="1:13" x14ac:dyDescent="0.3">
      <c r="A42" s="14">
        <v>7</v>
      </c>
      <c r="B42" s="15" t="s">
        <v>49</v>
      </c>
      <c r="C42" s="24">
        <f>C41*35</f>
        <v>23595.851048000008</v>
      </c>
      <c r="D42" s="14" t="s">
        <v>14</v>
      </c>
    </row>
    <row r="43" spans="1:13" x14ac:dyDescent="0.3">
      <c r="A43" s="14">
        <v>8</v>
      </c>
      <c r="B43" s="15" t="s">
        <v>50</v>
      </c>
      <c r="C43" s="24">
        <f>C32</f>
        <v>8476.02</v>
      </c>
    </row>
    <row r="44" spans="1:13" x14ac:dyDescent="0.3">
      <c r="A44" s="14">
        <v>9</v>
      </c>
      <c r="B44" s="14" t="s">
        <v>51</v>
      </c>
      <c r="C44" s="27">
        <f>C42-C43</f>
        <v>15119.831048000007</v>
      </c>
      <c r="D44" s="1" t="s">
        <v>14</v>
      </c>
    </row>
    <row r="45" spans="1:13" x14ac:dyDescent="0.3">
      <c r="A45" s="14">
        <v>10</v>
      </c>
      <c r="B45" s="14" t="s">
        <v>52</v>
      </c>
      <c r="C45" s="28">
        <f>ROUNDUP( C44 / C8, 0)</f>
        <v>9</v>
      </c>
      <c r="D45" s="1" t="s">
        <v>38</v>
      </c>
    </row>
    <row r="46" spans="1:13" x14ac:dyDescent="0.3">
      <c r="A46" s="29"/>
    </row>
    <row r="47" spans="1:13" ht="14.25" customHeight="1" x14ac:dyDescent="0.3">
      <c r="A47" s="78" t="s">
        <v>53</v>
      </c>
      <c r="B47" s="78"/>
      <c r="C47" s="78"/>
      <c r="D47" s="78"/>
      <c r="E47" s="78"/>
      <c r="F47" s="78"/>
      <c r="G47" s="78"/>
      <c r="H47" s="78"/>
      <c r="I47" s="78"/>
      <c r="J47" s="78"/>
      <c r="K47" s="30"/>
    </row>
    <row r="48" spans="1:13" ht="54.75" customHeight="1" x14ac:dyDescent="0.3">
      <c r="A48" s="4" t="s">
        <v>54</v>
      </c>
      <c r="B48" s="4" t="s">
        <v>55</v>
      </c>
      <c r="C48" s="4" t="s">
        <v>2</v>
      </c>
      <c r="D48" s="4" t="s">
        <v>56</v>
      </c>
      <c r="E48" s="4" t="s">
        <v>57</v>
      </c>
      <c r="F48" s="4" t="s">
        <v>58</v>
      </c>
      <c r="G48" s="4" t="s">
        <v>59</v>
      </c>
      <c r="H48" s="4" t="s">
        <v>60</v>
      </c>
      <c r="I48" s="31" t="s">
        <v>61</v>
      </c>
      <c r="J48" s="32" t="s">
        <v>62</v>
      </c>
      <c r="K48" s="32" t="s">
        <v>63</v>
      </c>
      <c r="L48" s="4" t="s">
        <v>64</v>
      </c>
      <c r="M48" s="4" t="s">
        <v>65</v>
      </c>
    </row>
    <row r="49" spans="1:13" x14ac:dyDescent="0.3">
      <c r="A49" s="6" t="s">
        <v>66</v>
      </c>
      <c r="B49" s="6" t="s">
        <v>3</v>
      </c>
      <c r="C49" s="18">
        <f>C8</f>
        <v>1724.47</v>
      </c>
      <c r="D49" s="33">
        <v>24</v>
      </c>
      <c r="E49" s="34">
        <f>24/3.3</f>
        <v>7.2727272727272734</v>
      </c>
      <c r="F49" s="35">
        <f>MIN(ROUNDUP(C44 /C49, 0), 10)</f>
        <v>9</v>
      </c>
      <c r="G49" s="35">
        <f>C49*F49</f>
        <v>15520.23</v>
      </c>
      <c r="H49" s="20">
        <f>F49* $C$18</f>
        <v>21.599999999999998</v>
      </c>
      <c r="I49" s="36">
        <f>D49-H49</f>
        <v>2.4000000000000021</v>
      </c>
      <c r="J49" s="37">
        <f>INT(I49/C17)</f>
        <v>0</v>
      </c>
      <c r="K49" s="38">
        <f>J49 * $C$17</f>
        <v>0</v>
      </c>
      <c r="L49" s="20">
        <f>C49*J49</f>
        <v>0</v>
      </c>
      <c r="M49" s="20">
        <f>( F49* C18 ) + ( J49 * C17 )</f>
        <v>21.599999999999998</v>
      </c>
    </row>
    <row r="50" spans="1:13" x14ac:dyDescent="0.3">
      <c r="A50" s="6" t="s">
        <v>67</v>
      </c>
      <c r="B50" s="6" t="s">
        <v>4</v>
      </c>
      <c r="C50" s="18">
        <f>C9</f>
        <v>1314.53</v>
      </c>
      <c r="D50" s="33">
        <v>13.5</v>
      </c>
      <c r="E50" s="34">
        <f>D50/3.3</f>
        <v>4.0909090909090908</v>
      </c>
      <c r="F50" s="35">
        <f>IF(C45&gt;10,MIN(ROUNDUP((C44-(G49))/C50,0),0),0)</f>
        <v>0</v>
      </c>
      <c r="G50" s="35">
        <f>C50*F50</f>
        <v>0</v>
      </c>
      <c r="H50" s="20">
        <f>F50* $C$18</f>
        <v>0</v>
      </c>
      <c r="I50" s="36">
        <f>D50-H50</f>
        <v>13.5</v>
      </c>
      <c r="J50" s="37">
        <f>INT(I50/C17)</f>
        <v>4</v>
      </c>
      <c r="K50" s="1">
        <f>J50 * $C$17</f>
        <v>13.2</v>
      </c>
      <c r="L50" s="20">
        <f>C50*J50</f>
        <v>5258.12</v>
      </c>
      <c r="M50" s="20">
        <f>( F50* C18 ) + ( J50 * C17 )</f>
        <v>13.2</v>
      </c>
    </row>
    <row r="51" spans="1:13" x14ac:dyDescent="0.3">
      <c r="A51" s="6" t="s">
        <v>68</v>
      </c>
      <c r="B51" s="6" t="s">
        <v>69</v>
      </c>
      <c r="C51" s="18">
        <f>C10</f>
        <v>940.62</v>
      </c>
      <c r="D51" s="39">
        <f>$C$15 - 37.5</f>
        <v>127.19999999999999</v>
      </c>
      <c r="E51" s="9">
        <f>INT(D51/C17)</f>
        <v>38</v>
      </c>
      <c r="F51" s="40">
        <f>IF((C44 - G49 - G50) &gt; 0, MIN(ROUNDUP((C44 - G49 - G50) / C51, 0), 0),0)</f>
        <v>0</v>
      </c>
      <c r="G51" s="35">
        <f>C51*F51</f>
        <v>0</v>
      </c>
      <c r="H51" s="20">
        <f>F51* $C$18</f>
        <v>0</v>
      </c>
      <c r="I51" s="36">
        <f>D51-H51</f>
        <v>127.19999999999999</v>
      </c>
      <c r="J51" s="37">
        <f>INT(I51/C17)</f>
        <v>38</v>
      </c>
      <c r="K51" s="41">
        <f>J51 * $C$17</f>
        <v>125.39999999999999</v>
      </c>
      <c r="L51" s="20">
        <f>C51*J51</f>
        <v>35743.56</v>
      </c>
      <c r="M51" s="20">
        <f>( F51* C18 ) + ( J51 * C17 )</f>
        <v>125.39999999999999</v>
      </c>
    </row>
    <row r="52" spans="1:13" x14ac:dyDescent="0.3">
      <c r="A52" s="42" t="s">
        <v>70</v>
      </c>
      <c r="B52" s="43"/>
      <c r="C52" s="43"/>
      <c r="D52" s="43"/>
      <c r="E52" s="43"/>
      <c r="F52" s="44">
        <f>F49+F50+F51</f>
        <v>9</v>
      </c>
      <c r="G52" s="44">
        <f>SUM(G49:G51)</f>
        <v>15520.23</v>
      </c>
      <c r="H52" s="19">
        <f>SUM(H49:H51)</f>
        <v>21.599999999999998</v>
      </c>
      <c r="I52" s="45" t="s">
        <v>71</v>
      </c>
      <c r="J52" s="46">
        <f>SUM(J49:J51)</f>
        <v>42</v>
      </c>
      <c r="K52" s="46">
        <f>SUM(K49:K51)</f>
        <v>138.6</v>
      </c>
      <c r="L52" s="19">
        <f>L49+L50+L51</f>
        <v>41001.68</v>
      </c>
      <c r="M52" s="47">
        <f>SUM(M49:M51)</f>
        <v>160.19999999999999</v>
      </c>
    </row>
    <row r="54" spans="1:13" x14ac:dyDescent="0.3">
      <c r="A54" s="79" t="s">
        <v>72</v>
      </c>
      <c r="B54" s="79"/>
      <c r="C54" s="79"/>
      <c r="D54" s="79"/>
      <c r="E54" s="21"/>
    </row>
    <row r="55" spans="1:13" x14ac:dyDescent="0.3">
      <c r="A55" s="22" t="s">
        <v>7</v>
      </c>
      <c r="B55" s="22" t="s">
        <v>8</v>
      </c>
      <c r="C55" s="22" t="s">
        <v>42</v>
      </c>
      <c r="D55" s="22" t="s">
        <v>10</v>
      </c>
      <c r="E55" s="23"/>
    </row>
    <row r="56" spans="1:13" x14ac:dyDescent="0.3">
      <c r="A56" s="14">
        <v>1</v>
      </c>
      <c r="B56" s="14" t="s">
        <v>73</v>
      </c>
      <c r="C56" s="24">
        <f>C15</f>
        <v>164.7</v>
      </c>
      <c r="D56" s="14" t="s">
        <v>27</v>
      </c>
    </row>
    <row r="57" spans="1:13" x14ac:dyDescent="0.3">
      <c r="A57" s="14">
        <v>2</v>
      </c>
      <c r="B57" s="14" t="s">
        <v>28</v>
      </c>
      <c r="C57" s="48">
        <v>0.15</v>
      </c>
      <c r="D57" s="14" t="s">
        <v>27</v>
      </c>
    </row>
    <row r="58" spans="1:13" x14ac:dyDescent="0.3">
      <c r="A58" s="14">
        <v>3</v>
      </c>
      <c r="B58" s="14" t="s">
        <v>74</v>
      </c>
      <c r="C58" s="49">
        <f>C45</f>
        <v>9</v>
      </c>
      <c r="D58" s="14" t="s">
        <v>38</v>
      </c>
    </row>
    <row r="59" spans="1:13" x14ac:dyDescent="0.3">
      <c r="A59" s="14">
        <v>4</v>
      </c>
      <c r="B59" s="14" t="s">
        <v>75</v>
      </c>
      <c r="C59" s="24">
        <f>C58*2.4</f>
        <v>21.599999999999998</v>
      </c>
      <c r="D59" s="14" t="s">
        <v>27</v>
      </c>
    </row>
    <row r="60" spans="1:13" x14ac:dyDescent="0.3">
      <c r="A60" s="14">
        <v>5</v>
      </c>
      <c r="B60" s="14" t="s">
        <v>76</v>
      </c>
      <c r="C60" s="24">
        <f>C56-(C59+C57)</f>
        <v>142.94999999999999</v>
      </c>
      <c r="D60" s="14" t="s">
        <v>27</v>
      </c>
    </row>
    <row r="61" spans="1:13" x14ac:dyDescent="0.3">
      <c r="A61" s="14">
        <v>6</v>
      </c>
      <c r="B61" s="14" t="s">
        <v>77</v>
      </c>
      <c r="C61" s="24">
        <f>(SUM(J49,J50,J51) * 3.3) + (SUM(F49,F50,F51) * 2.4) + C57</f>
        <v>160.35</v>
      </c>
      <c r="D61" s="14" t="s">
        <v>27</v>
      </c>
    </row>
    <row r="62" spans="1:13" x14ac:dyDescent="0.3">
      <c r="A62" s="14">
        <v>7</v>
      </c>
      <c r="B62" s="14" t="s">
        <v>78</v>
      </c>
      <c r="C62" s="24">
        <f>K52</f>
        <v>138.6</v>
      </c>
      <c r="D62" s="14"/>
    </row>
    <row r="63" spans="1:13" x14ac:dyDescent="0.3">
      <c r="A63" s="14">
        <v>8</v>
      </c>
      <c r="B63" s="14" t="s">
        <v>79</v>
      </c>
      <c r="C63" s="50">
        <v>3.3</v>
      </c>
      <c r="D63" s="14" t="s">
        <v>27</v>
      </c>
    </row>
    <row r="64" spans="1:13" x14ac:dyDescent="0.3">
      <c r="A64" s="14">
        <v>9</v>
      </c>
      <c r="B64" s="14" t="s">
        <v>80</v>
      </c>
      <c r="C64" s="24">
        <f>INT(C60/C63)</f>
        <v>43</v>
      </c>
      <c r="D64" s="14" t="s">
        <v>38</v>
      </c>
    </row>
    <row r="65" spans="1:16" x14ac:dyDescent="0.3">
      <c r="A65" s="14">
        <v>10</v>
      </c>
      <c r="B65" s="14" t="s">
        <v>81</v>
      </c>
      <c r="C65" s="24">
        <f>C64+C58</f>
        <v>52</v>
      </c>
      <c r="D65" s="14" t="s">
        <v>38</v>
      </c>
    </row>
    <row r="66" spans="1:16" x14ac:dyDescent="0.3">
      <c r="A66" s="14">
        <v>11</v>
      </c>
      <c r="B66" s="14" t="s">
        <v>82</v>
      </c>
      <c r="C66" s="24">
        <f>J52</f>
        <v>42</v>
      </c>
      <c r="D66" s="14"/>
    </row>
    <row r="67" spans="1:16" x14ac:dyDescent="0.3">
      <c r="A67" s="14">
        <v>12</v>
      </c>
      <c r="B67" s="14" t="s">
        <v>83</v>
      </c>
      <c r="C67" s="24">
        <f>SUM(F52,J52)</f>
        <v>51</v>
      </c>
      <c r="D67" s="14"/>
    </row>
    <row r="68" spans="1:16" x14ac:dyDescent="0.3">
      <c r="A68" s="14">
        <v>13</v>
      </c>
      <c r="B68" s="51" t="s">
        <v>84</v>
      </c>
      <c r="C68" s="52">
        <f>C24</f>
        <v>44465.943600000013</v>
      </c>
      <c r="D68" s="51" t="s">
        <v>14</v>
      </c>
      <c r="E68" s="53"/>
    </row>
    <row r="69" spans="1:16" x14ac:dyDescent="0.3">
      <c r="A69" s="1">
        <v>14</v>
      </c>
      <c r="B69" s="1" t="s">
        <v>85</v>
      </c>
      <c r="C69" s="54">
        <f>L52</f>
        <v>41001.68</v>
      </c>
    </row>
    <row r="73" spans="1:16" ht="15.6" x14ac:dyDescent="0.3">
      <c r="A73" s="78" t="s">
        <v>124</v>
      </c>
      <c r="B73" s="78"/>
      <c r="C73" s="78"/>
      <c r="D73" s="78"/>
      <c r="E73" s="78"/>
      <c r="F73" s="78"/>
      <c r="G73" s="78"/>
      <c r="H73" s="78"/>
      <c r="I73" s="78"/>
      <c r="J73" s="78"/>
      <c r="K73" s="30"/>
    </row>
    <row r="74" spans="1:16" ht="55.2" x14ac:dyDescent="0.3">
      <c r="A74" s="4" t="s">
        <v>54</v>
      </c>
      <c r="B74" s="4" t="s">
        <v>55</v>
      </c>
      <c r="C74" s="4" t="s">
        <v>2</v>
      </c>
      <c r="D74" s="4" t="s">
        <v>56</v>
      </c>
      <c r="E74" s="4" t="s">
        <v>57</v>
      </c>
      <c r="F74" s="4" t="s">
        <v>58</v>
      </c>
      <c r="G74" s="4" t="s">
        <v>59</v>
      </c>
      <c r="H74" s="4" t="s">
        <v>60</v>
      </c>
      <c r="I74" s="74" t="s">
        <v>61</v>
      </c>
      <c r="J74" s="73" t="s">
        <v>129</v>
      </c>
      <c r="K74" s="73" t="s">
        <v>125</v>
      </c>
      <c r="L74" s="4" t="s">
        <v>126</v>
      </c>
      <c r="M74" s="4" t="s">
        <v>127</v>
      </c>
      <c r="N74" s="73" t="s">
        <v>63</v>
      </c>
      <c r="O74" s="4" t="s">
        <v>128</v>
      </c>
      <c r="P74" s="4"/>
    </row>
    <row r="75" spans="1:16" x14ac:dyDescent="0.3">
      <c r="A75" s="6" t="s">
        <v>66</v>
      </c>
      <c r="B75" s="6" t="s">
        <v>3</v>
      </c>
      <c r="C75" s="18">
        <f>C8</f>
        <v>1724.47</v>
      </c>
      <c r="D75" s="33">
        <v>24</v>
      </c>
      <c r="E75" s="34">
        <f>24/3.3</f>
        <v>7.2727272727272734</v>
      </c>
      <c r="F75" s="35">
        <f>F49</f>
        <v>9</v>
      </c>
      <c r="G75" s="35">
        <f>G49</f>
        <v>15520.23</v>
      </c>
      <c r="H75" s="20">
        <f>H49</f>
        <v>21.599999999999998</v>
      </c>
      <c r="I75" s="36">
        <f>D75-H75</f>
        <v>2.4000000000000021</v>
      </c>
      <c r="J75" s="37">
        <f>INT(I75/C17)</f>
        <v>0</v>
      </c>
      <c r="K75" s="38">
        <f>J75*C75</f>
        <v>0</v>
      </c>
      <c r="L75" s="20">
        <f>MIN(C24, K75)</f>
        <v>0</v>
      </c>
      <c r="M75" s="20">
        <f>ROUNDDOWN((L75/C75),0)</f>
        <v>0</v>
      </c>
      <c r="N75" s="1">
        <f>C17*M75</f>
        <v>0</v>
      </c>
      <c r="O75" s="54">
        <f>H75+N75</f>
        <v>21.599999999999998</v>
      </c>
    </row>
    <row r="76" spans="1:16" x14ac:dyDescent="0.3">
      <c r="A76" s="6" t="s">
        <v>67</v>
      </c>
      <c r="B76" s="6" t="s">
        <v>4</v>
      </c>
      <c r="C76" s="18">
        <f>C9</f>
        <v>1314.53</v>
      </c>
      <c r="D76" s="33">
        <v>13.5</v>
      </c>
      <c r="E76" s="34">
        <f>D76/3.3</f>
        <v>4.0909090909090908</v>
      </c>
      <c r="F76" s="35">
        <f t="shared" ref="F76:H77" si="0">F50</f>
        <v>0</v>
      </c>
      <c r="G76" s="35">
        <f t="shared" si="0"/>
        <v>0</v>
      </c>
      <c r="H76" s="20">
        <f t="shared" si="0"/>
        <v>0</v>
      </c>
      <c r="I76" s="36">
        <f>D76-H76</f>
        <v>13.5</v>
      </c>
      <c r="J76" s="37">
        <f>INT(I76/C17)</f>
        <v>4</v>
      </c>
      <c r="K76" s="38">
        <f t="shared" ref="K76:K77" si="1">J76*C76</f>
        <v>5258.12</v>
      </c>
      <c r="L76" s="20">
        <f>MAX(0, MIN(K76, C24 - L75))</f>
        <v>5258.12</v>
      </c>
      <c r="M76" s="20">
        <f t="shared" ref="M76:M77" si="2">ROUNDDOWN((L76/C76),0)</f>
        <v>4</v>
      </c>
      <c r="N76" s="1">
        <f>C17*M76</f>
        <v>13.2</v>
      </c>
      <c r="O76" s="54">
        <f t="shared" ref="O76:O77" si="3">H76+N76</f>
        <v>13.2</v>
      </c>
    </row>
    <row r="77" spans="1:16" x14ac:dyDescent="0.3">
      <c r="A77" s="6" t="s">
        <v>68</v>
      </c>
      <c r="B77" s="6" t="s">
        <v>69</v>
      </c>
      <c r="C77" s="18">
        <f>C10</f>
        <v>940.62</v>
      </c>
      <c r="D77" s="39">
        <f>$C$15 - 37.5</f>
        <v>127.19999999999999</v>
      </c>
      <c r="E77" s="9">
        <f>INT(D77/C43)</f>
        <v>0</v>
      </c>
      <c r="F77" s="35">
        <f t="shared" si="0"/>
        <v>0</v>
      </c>
      <c r="G77" s="35">
        <f t="shared" si="0"/>
        <v>0</v>
      </c>
      <c r="H77" s="20">
        <f t="shared" si="0"/>
        <v>0</v>
      </c>
      <c r="I77" s="36">
        <f>D77-H77</f>
        <v>127.19999999999999</v>
      </c>
      <c r="J77" s="37">
        <f>INT(I77/C17)</f>
        <v>38</v>
      </c>
      <c r="K77" s="38">
        <f t="shared" si="1"/>
        <v>35743.56</v>
      </c>
      <c r="L77" s="20">
        <f>MAX(0, MIN(K77, C24 - L75 - L76))</f>
        <v>35743.56</v>
      </c>
      <c r="M77" s="20">
        <f t="shared" si="2"/>
        <v>38</v>
      </c>
      <c r="N77" s="1">
        <f>C17*M77</f>
        <v>125.39999999999999</v>
      </c>
      <c r="O77" s="54">
        <f t="shared" si="3"/>
        <v>125.39999999999999</v>
      </c>
    </row>
    <row r="78" spans="1:16" x14ac:dyDescent="0.3">
      <c r="A78" s="42" t="s">
        <v>70</v>
      </c>
      <c r="B78" s="43"/>
      <c r="C78" s="43"/>
      <c r="D78" s="43"/>
      <c r="E78" s="43"/>
      <c r="F78" s="44">
        <f>F75+F76+F77</f>
        <v>9</v>
      </c>
      <c r="G78" s="44">
        <f>SUM(G75:G77)</f>
        <v>15520.23</v>
      </c>
      <c r="H78" s="19">
        <f>SUM(H75:H77)</f>
        <v>21.599999999999998</v>
      </c>
      <c r="I78" s="45" t="s">
        <v>71</v>
      </c>
      <c r="J78" s="46">
        <f>SUM(J75:J77)</f>
        <v>42</v>
      </c>
      <c r="K78" s="46">
        <f>SUM(K75:K77)</f>
        <v>41001.68</v>
      </c>
      <c r="L78" s="19">
        <f>L75+L76+L77</f>
        <v>41001.68</v>
      </c>
      <c r="M78" s="75">
        <f>SUM(M75:M77)</f>
        <v>42</v>
      </c>
      <c r="N78" s="76">
        <f>SUM(N75:N77)</f>
        <v>138.6</v>
      </c>
      <c r="O78" s="77">
        <f>SUM(O75:O77)</f>
        <v>160.19999999999999</v>
      </c>
    </row>
    <row r="80" spans="1:16" x14ac:dyDescent="0.3">
      <c r="L80" s="1" t="s">
        <v>130</v>
      </c>
      <c r="M80" s="37">
        <f>F78</f>
        <v>9</v>
      </c>
    </row>
    <row r="81" spans="12:13" x14ac:dyDescent="0.3">
      <c r="L81" s="1" t="s">
        <v>131</v>
      </c>
      <c r="M81" s="54">
        <f>M78</f>
        <v>42</v>
      </c>
    </row>
    <row r="82" spans="12:13" x14ac:dyDescent="0.3">
      <c r="L82" s="1" t="s">
        <v>132</v>
      </c>
      <c r="M82" s="37">
        <f>SUM(M80:M81)</f>
        <v>51</v>
      </c>
    </row>
  </sheetData>
  <mergeCells count="9">
    <mergeCell ref="A73:J73"/>
    <mergeCell ref="A34:D34"/>
    <mergeCell ref="A47:J47"/>
    <mergeCell ref="A54:D54"/>
    <mergeCell ref="A1:D1"/>
    <mergeCell ref="A2:D2"/>
    <mergeCell ref="A4:D4"/>
    <mergeCell ref="A20:D20"/>
    <mergeCell ref="A26:D26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2"/>
  <sheetViews>
    <sheetView zoomScale="72" zoomScaleNormal="72" workbookViewId="0">
      <selection activeCell="P22" sqref="P22"/>
    </sheetView>
  </sheetViews>
  <sheetFormatPr defaultColWidth="8.6640625" defaultRowHeight="14.4" x14ac:dyDescent="0.3"/>
  <cols>
    <col min="1" max="1" width="22" style="14" customWidth="1"/>
    <col min="2" max="3" width="14" style="14" customWidth="1"/>
    <col min="4" max="6" width="18" style="14" customWidth="1"/>
    <col min="7" max="7" width="50.109375" style="14" customWidth="1"/>
    <col min="8" max="8" width="11.21875" style="14" customWidth="1"/>
    <col min="9" max="16384" width="8.6640625" style="14"/>
  </cols>
  <sheetData>
    <row r="1" spans="1:12" ht="17.25" customHeight="1" x14ac:dyDescent="0.3">
      <c r="A1" s="90" t="s">
        <v>97</v>
      </c>
      <c r="B1" s="90"/>
      <c r="C1" s="90"/>
      <c r="D1" s="90"/>
      <c r="E1" s="90"/>
      <c r="F1" s="90"/>
    </row>
    <row r="2" spans="1:12" ht="15.75" customHeight="1" x14ac:dyDescent="0.3">
      <c r="A2" s="91" t="s">
        <v>98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</row>
    <row r="3" spans="1:12" ht="24" customHeight="1" x14ac:dyDescent="0.3">
      <c r="A3" s="63" t="s">
        <v>99</v>
      </c>
      <c r="B3" s="63" t="s">
        <v>100</v>
      </c>
      <c r="C3" s="63" t="s">
        <v>101</v>
      </c>
      <c r="D3" s="64" t="s">
        <v>102</v>
      </c>
      <c r="E3" s="65" t="s">
        <v>103</v>
      </c>
      <c r="F3" s="66" t="s">
        <v>104</v>
      </c>
      <c r="G3" s="14" t="s">
        <v>1</v>
      </c>
      <c r="H3" s="67" t="s">
        <v>105</v>
      </c>
      <c r="I3" s="14" t="s">
        <v>106</v>
      </c>
    </row>
    <row r="4" spans="1:12" ht="18" customHeight="1" x14ac:dyDescent="0.3">
      <c r="A4" s="88" t="s">
        <v>107</v>
      </c>
      <c r="B4" s="68" t="s">
        <v>108</v>
      </c>
      <c r="C4" s="69">
        <v>6334.49</v>
      </c>
      <c r="D4" s="70"/>
      <c r="E4" s="70"/>
      <c r="F4" s="70"/>
      <c r="H4" s="70"/>
    </row>
    <row r="5" spans="1:12" ht="18" customHeight="1" x14ac:dyDescent="0.3">
      <c r="A5" s="88"/>
      <c r="B5" s="7" t="s">
        <v>109</v>
      </c>
      <c r="C5" s="8">
        <v>3167.09</v>
      </c>
      <c r="D5" s="11">
        <v>1724.47</v>
      </c>
      <c r="E5" s="12">
        <v>1314.53</v>
      </c>
      <c r="F5" s="13">
        <v>940.1</v>
      </c>
      <c r="G5" s="14">
        <v>10.8</v>
      </c>
      <c r="H5" s="71">
        <v>2825.34</v>
      </c>
      <c r="I5" s="14">
        <v>164.7</v>
      </c>
    </row>
    <row r="6" spans="1:12" ht="18" customHeight="1" x14ac:dyDescent="0.3">
      <c r="A6" s="88"/>
      <c r="B6" s="55" t="s">
        <v>110</v>
      </c>
      <c r="C6" s="56">
        <v>3167.85</v>
      </c>
      <c r="D6" s="11">
        <v>1725.34</v>
      </c>
      <c r="E6" s="12">
        <v>1314.98</v>
      </c>
      <c r="F6" s="13">
        <v>940.62</v>
      </c>
      <c r="G6" s="14">
        <v>10.8</v>
      </c>
      <c r="H6" s="71">
        <v>2826.44</v>
      </c>
      <c r="I6" s="14">
        <v>164.7</v>
      </c>
    </row>
    <row r="7" spans="1:12" ht="18" customHeight="1" x14ac:dyDescent="0.3">
      <c r="A7" s="88" t="s">
        <v>111</v>
      </c>
      <c r="B7" s="68" t="s">
        <v>108</v>
      </c>
      <c r="C7" s="69">
        <v>6334.49</v>
      </c>
      <c r="D7" s="70"/>
      <c r="E7" s="70"/>
      <c r="F7" s="70"/>
      <c r="H7" s="70"/>
    </row>
    <row r="8" spans="1:12" ht="18" customHeight="1" x14ac:dyDescent="0.3">
      <c r="A8" s="88"/>
      <c r="B8" s="55" t="s">
        <v>95</v>
      </c>
      <c r="C8" s="56">
        <v>3167.22</v>
      </c>
      <c r="D8" s="11">
        <v>1724.52</v>
      </c>
      <c r="E8" s="12">
        <v>1314.31</v>
      </c>
      <c r="F8" s="13">
        <v>940.3</v>
      </c>
      <c r="G8" s="14">
        <v>10.8</v>
      </c>
      <c r="H8" s="71">
        <v>2825.86</v>
      </c>
      <c r="I8" s="14">
        <v>164.7</v>
      </c>
    </row>
    <row r="9" spans="1:12" ht="18" customHeight="1" x14ac:dyDescent="0.3">
      <c r="A9" s="88"/>
      <c r="B9" s="62" t="s">
        <v>94</v>
      </c>
      <c r="C9" s="8">
        <v>3167.73</v>
      </c>
      <c r="D9" s="11">
        <v>1725.87</v>
      </c>
      <c r="E9" s="12">
        <v>1315.39</v>
      </c>
      <c r="F9" s="13">
        <v>940.54</v>
      </c>
      <c r="G9" s="14">
        <v>10.8</v>
      </c>
      <c r="H9" s="71">
        <v>2826.33</v>
      </c>
      <c r="I9" s="14">
        <v>164.7</v>
      </c>
    </row>
    <row r="10" spans="1:12" ht="18" customHeight="1" x14ac:dyDescent="0.3">
      <c r="A10" s="88" t="s">
        <v>112</v>
      </c>
      <c r="B10" s="68" t="s">
        <v>108</v>
      </c>
      <c r="C10" s="69">
        <v>6333.57</v>
      </c>
      <c r="D10" s="70"/>
      <c r="E10" s="70"/>
      <c r="F10" s="70"/>
      <c r="H10" s="70"/>
    </row>
    <row r="11" spans="1:12" ht="18" customHeight="1" x14ac:dyDescent="0.3">
      <c r="A11" s="88"/>
      <c r="B11" s="7" t="s">
        <v>89</v>
      </c>
      <c r="C11" s="8">
        <v>3168.5</v>
      </c>
      <c r="D11" s="11">
        <v>1725.79</v>
      </c>
      <c r="E11" s="12">
        <v>1315.32</v>
      </c>
      <c r="F11" s="13">
        <v>940.86</v>
      </c>
      <c r="G11" s="14">
        <v>10.1</v>
      </c>
      <c r="H11" s="71">
        <v>2827.04</v>
      </c>
      <c r="I11" s="14">
        <v>153.72</v>
      </c>
    </row>
    <row r="12" spans="1:12" ht="18" customHeight="1" x14ac:dyDescent="0.3">
      <c r="A12" s="88"/>
      <c r="B12" s="55" t="s">
        <v>88</v>
      </c>
      <c r="C12" s="56">
        <v>3169</v>
      </c>
      <c r="D12" s="11">
        <v>1726.18</v>
      </c>
      <c r="E12" s="12">
        <v>1315.74</v>
      </c>
      <c r="F12" s="13">
        <v>941.31</v>
      </c>
      <c r="G12" s="14">
        <v>10.1</v>
      </c>
      <c r="H12" s="71">
        <v>2827.54</v>
      </c>
      <c r="I12" s="14">
        <v>153.72</v>
      </c>
    </row>
    <row r="13" spans="1:12" ht="18" customHeight="1" x14ac:dyDescent="0.3">
      <c r="A13" s="88" t="s">
        <v>113</v>
      </c>
      <c r="B13" s="68" t="s">
        <v>108</v>
      </c>
      <c r="C13" s="69">
        <v>6334.84</v>
      </c>
      <c r="D13" s="70"/>
      <c r="E13" s="70"/>
      <c r="F13" s="70"/>
      <c r="H13" s="70"/>
    </row>
    <row r="14" spans="1:12" ht="18" customHeight="1" x14ac:dyDescent="0.3">
      <c r="A14" s="88"/>
      <c r="B14" s="55" t="s">
        <v>91</v>
      </c>
      <c r="C14" s="56">
        <v>3171.66</v>
      </c>
      <c r="D14" s="11">
        <v>1728.05</v>
      </c>
      <c r="E14" s="12">
        <v>1317.13</v>
      </c>
      <c r="F14" s="13">
        <v>942.2</v>
      </c>
      <c r="G14" s="14">
        <v>4</v>
      </c>
      <c r="H14" s="71">
        <v>2829.98</v>
      </c>
      <c r="I14" s="14">
        <v>87.84</v>
      </c>
    </row>
    <row r="15" spans="1:12" ht="18" customHeight="1" x14ac:dyDescent="0.3">
      <c r="A15" s="88"/>
      <c r="B15" s="7" t="s">
        <v>90</v>
      </c>
      <c r="C15" s="8">
        <v>3172.69</v>
      </c>
      <c r="D15" s="11">
        <v>1728.8</v>
      </c>
      <c r="E15" s="12">
        <v>1317.8</v>
      </c>
      <c r="F15" s="13">
        <v>942.79</v>
      </c>
      <c r="G15" s="14">
        <v>4</v>
      </c>
      <c r="H15" s="71">
        <v>2830.95</v>
      </c>
      <c r="I15" s="14">
        <v>87.84</v>
      </c>
    </row>
    <row r="16" spans="1:12" ht="18" customHeight="1" x14ac:dyDescent="0.3">
      <c r="A16" s="88" t="s">
        <v>114</v>
      </c>
      <c r="B16" s="68" t="s">
        <v>108</v>
      </c>
      <c r="C16" s="69">
        <v>12111.56</v>
      </c>
      <c r="D16" s="70"/>
      <c r="E16" s="70"/>
      <c r="F16" s="70"/>
      <c r="H16" s="70"/>
    </row>
    <row r="17" spans="1:9" ht="18" customHeight="1" x14ac:dyDescent="0.3">
      <c r="A17" s="88"/>
      <c r="B17" s="7" t="s">
        <v>93</v>
      </c>
      <c r="C17" s="8">
        <v>3508.84</v>
      </c>
      <c r="D17" s="11">
        <v>1973.43</v>
      </c>
      <c r="E17" s="12">
        <v>1520.09</v>
      </c>
      <c r="F17" s="13">
        <v>1102.76</v>
      </c>
      <c r="G17" s="14">
        <v>4.8</v>
      </c>
      <c r="H17" s="71">
        <v>3145.08</v>
      </c>
      <c r="I17" s="14">
        <v>73.2</v>
      </c>
    </row>
    <row r="18" spans="1:9" ht="18" customHeight="1" x14ac:dyDescent="0.3">
      <c r="A18" s="88"/>
      <c r="B18" s="61" t="s">
        <v>92</v>
      </c>
      <c r="C18" s="56">
        <v>3507.4</v>
      </c>
      <c r="D18" s="11">
        <v>1972.23</v>
      </c>
      <c r="E18" s="12">
        <v>1518.94</v>
      </c>
      <c r="F18" s="13">
        <v>1101.6500000000001</v>
      </c>
      <c r="G18" s="14">
        <v>4.8</v>
      </c>
      <c r="H18" s="71">
        <v>3143.59</v>
      </c>
      <c r="I18" s="14">
        <v>73.2</v>
      </c>
    </row>
    <row r="19" spans="1:9" ht="18" customHeight="1" x14ac:dyDescent="0.3">
      <c r="A19" s="88"/>
      <c r="B19" s="7" t="s">
        <v>115</v>
      </c>
      <c r="C19" s="8">
        <v>5093.99</v>
      </c>
      <c r="D19" s="11">
        <v>3140.69</v>
      </c>
      <c r="E19" s="12">
        <v>2628.68</v>
      </c>
      <c r="F19" s="13">
        <v>2150.87</v>
      </c>
      <c r="G19" s="14">
        <v>4.8</v>
      </c>
      <c r="H19" s="71">
        <v>4661.95</v>
      </c>
      <c r="I19" s="14">
        <v>73.2</v>
      </c>
    </row>
    <row r="20" spans="1:9" ht="18" customHeight="1" x14ac:dyDescent="0.3">
      <c r="A20" s="88" t="s">
        <v>116</v>
      </c>
      <c r="B20" s="68" t="s">
        <v>108</v>
      </c>
      <c r="C20" s="69">
        <v>10197.5</v>
      </c>
      <c r="D20" s="70"/>
      <c r="E20" s="70"/>
      <c r="F20" s="70"/>
      <c r="H20" s="70"/>
    </row>
    <row r="21" spans="1:9" ht="18" customHeight="1" x14ac:dyDescent="0.3">
      <c r="A21" s="88"/>
      <c r="B21" s="7" t="s">
        <v>87</v>
      </c>
      <c r="C21" s="8">
        <v>2104.16</v>
      </c>
      <c r="D21" s="11">
        <v>965.49</v>
      </c>
      <c r="E21" s="12">
        <v>654.16</v>
      </c>
      <c r="F21" s="13">
        <v>378.82</v>
      </c>
      <c r="G21" s="14">
        <v>4.8</v>
      </c>
      <c r="H21" s="71">
        <v>1825.49</v>
      </c>
      <c r="I21" s="14">
        <v>73.2</v>
      </c>
    </row>
    <row r="22" spans="1:9" ht="18" customHeight="1" x14ac:dyDescent="0.3">
      <c r="A22" s="88"/>
      <c r="B22" s="55" t="s">
        <v>86</v>
      </c>
      <c r="C22" s="56">
        <v>3785.56</v>
      </c>
      <c r="D22" s="11">
        <v>2158.02</v>
      </c>
      <c r="E22" s="12">
        <v>1765.12</v>
      </c>
      <c r="F22" s="13">
        <v>1408.21</v>
      </c>
      <c r="G22" s="14">
        <v>4.8</v>
      </c>
      <c r="H22" s="71">
        <v>3425.39</v>
      </c>
      <c r="I22" s="14">
        <v>73.2</v>
      </c>
    </row>
    <row r="23" spans="1:9" ht="18" customHeight="1" x14ac:dyDescent="0.3">
      <c r="A23" s="88"/>
      <c r="B23" s="7" t="s">
        <v>12</v>
      </c>
      <c r="C23" s="8">
        <v>4308.12</v>
      </c>
      <c r="D23" s="11">
        <v>2483.1</v>
      </c>
      <c r="E23" s="12">
        <v>2080.23</v>
      </c>
      <c r="F23" s="13">
        <v>1711.56</v>
      </c>
      <c r="G23" s="14">
        <v>4.8</v>
      </c>
      <c r="H23" s="71">
        <v>3919.4</v>
      </c>
      <c r="I23" s="14">
        <v>73.2</v>
      </c>
    </row>
    <row r="25" spans="1:9" ht="15" customHeight="1" x14ac:dyDescent="0.3">
      <c r="A25" s="89" t="s">
        <v>117</v>
      </c>
      <c r="B25" s="89"/>
      <c r="C25" s="89"/>
      <c r="D25" s="89"/>
      <c r="E25" s="89"/>
      <c r="F25" s="89"/>
    </row>
    <row r="26" spans="1:9" ht="15.75" customHeight="1" x14ac:dyDescent="0.3">
      <c r="A26" s="83" t="s">
        <v>118</v>
      </c>
      <c r="B26" s="83"/>
      <c r="C26" s="72"/>
      <c r="D26" s="72"/>
      <c r="E26" s="72"/>
      <c r="F26" s="72"/>
    </row>
    <row r="27" spans="1:9" ht="15.75" customHeight="1" x14ac:dyDescent="0.3">
      <c r="A27" s="84" t="s">
        <v>119</v>
      </c>
      <c r="B27" s="84"/>
      <c r="C27" s="72"/>
      <c r="D27" s="72"/>
      <c r="E27" s="72"/>
      <c r="F27" s="72"/>
    </row>
    <row r="28" spans="1:9" ht="15.75" customHeight="1" x14ac:dyDescent="0.3">
      <c r="A28" s="85" t="s">
        <v>120</v>
      </c>
      <c r="B28" s="85"/>
      <c r="C28" s="72"/>
      <c r="D28" s="72"/>
      <c r="E28" s="72"/>
      <c r="F28" s="72"/>
    </row>
    <row r="29" spans="1:9" ht="15.75" customHeight="1" x14ac:dyDescent="0.3">
      <c r="A29" s="86" t="s">
        <v>121</v>
      </c>
      <c r="B29" s="86"/>
      <c r="C29" s="72"/>
      <c r="D29" s="72"/>
      <c r="E29" s="72"/>
      <c r="F29" s="72"/>
    </row>
    <row r="30" spans="1:9" ht="15.75" customHeight="1" x14ac:dyDescent="0.3">
      <c r="A30" s="87" t="s">
        <v>122</v>
      </c>
      <c r="B30" s="87"/>
      <c r="C30" s="72"/>
      <c r="D30" s="72"/>
      <c r="E30" s="72"/>
      <c r="F30" s="72"/>
    </row>
    <row r="32" spans="1:9" ht="15" customHeight="1" x14ac:dyDescent="0.3">
      <c r="A32" s="82" t="s">
        <v>123</v>
      </c>
      <c r="B32" s="82"/>
      <c r="C32" s="82"/>
      <c r="D32" s="82"/>
      <c r="E32" s="82"/>
      <c r="F32" s="82"/>
    </row>
  </sheetData>
  <mergeCells count="16">
    <mergeCell ref="A1:F1"/>
    <mergeCell ref="A2:F2"/>
    <mergeCell ref="G2:L2"/>
    <mergeCell ref="A4:A6"/>
    <mergeCell ref="A7:A9"/>
    <mergeCell ref="A10:A12"/>
    <mergeCell ref="A13:A15"/>
    <mergeCell ref="A16:A19"/>
    <mergeCell ref="A20:A23"/>
    <mergeCell ref="A25:F25"/>
    <mergeCell ref="A32:F32"/>
    <mergeCell ref="A26:B26"/>
    <mergeCell ref="A27:B27"/>
    <mergeCell ref="A28:B28"/>
    <mergeCell ref="A29:B29"/>
    <mergeCell ref="A30:B30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157.5.6</vt:lpstr>
      <vt:lpstr>157.3.4</vt:lpstr>
      <vt:lpstr>157.1.2</vt:lpstr>
      <vt:lpstr>160.3.4</vt:lpstr>
      <vt:lpstr>160.1.2</vt:lpstr>
      <vt:lpstr>159.3.4</vt:lpstr>
      <vt:lpstr>159.1.2</vt:lpstr>
      <vt:lpstr>158.5.6</vt:lpstr>
      <vt:lpstr>158.2.4</vt:lpstr>
      <vt:lpstr>158.1.3</vt:lpstr>
      <vt:lpstr>146.3.4</vt:lpstr>
      <vt:lpstr>146.1.2</vt:lpstr>
      <vt:lpstr>145.3.4</vt:lpstr>
      <vt:lpstr>145.1.2</vt:lpstr>
      <vt:lpstr>CGO_PLOT_DIMENSIONS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Anvi Tiwari</dc:creator>
  <dc:description/>
  <cp:lastModifiedBy>Prahadeesvar DL</cp:lastModifiedBy>
  <cp:revision>0</cp:revision>
  <dcterms:created xsi:type="dcterms:W3CDTF">2026-06-25T06:25:50Z</dcterms:created>
  <dcterms:modified xsi:type="dcterms:W3CDTF">2026-07-03T08:58:23Z</dcterms:modified>
  <dc:language>en-US</dc:language>
</cp:coreProperties>
</file>